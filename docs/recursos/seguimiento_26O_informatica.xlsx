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Baremo" sheetId="2" state="visible" r:id="rId4"/>
    <sheet name="Alumnos" sheetId="3" state="visible" r:id="rId5"/>
    <sheet name="Asistencia" sheetId="4" state="visible" r:id="rId6"/>
    <sheet name="Entregables" sheetId="5" state="visible" r:id="rId7"/>
    <sheet name="Bitacora_IA" sheetId="6" state="visible" r:id="rId8"/>
    <sheet name="Examenes" sheetId="7" state="visible" r:id="rId9"/>
    <sheet name="Calificaciones" sheetId="8" state="visible" r:id="rId10"/>
    <sheet name="Riesgo" sheetId="9" state="visible" r:id="rId11"/>
    <sheet name="Diario_docente" sheetId="10" state="visible" r:id="rId12"/>
    <sheet name="Evaluacion_metod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<sst xmlns="http://schemas.openxmlformats.org/spreadsheetml/2006/main" count="373" uniqueCount="271">
  <si>
    <t xml:space="preserve">Libro de seguimiento · UEA 2211088 Informática · Trimestre 26-O</t>
  </si>
  <si>
    <t xml:space="preserve">Propósito</t>
  </si>
  <si>
    <t xml:space="preserve">Registrar cada actividad del trimestre para tres fines simultáneos: retroalimentar al alumno, calcular la calificación conforme al programa oficial, y evaluar si el método de aprendizaje basado en proyectos funcionó.</t>
  </si>
  <si>
    <t xml:space="preserve">CÓMO SE USA</t>
  </si>
  <si>
    <t xml:space="preserve">1. Alumnos</t>
  </si>
  <si>
    <t xml:space="preserve">Vuelca aquí la lista del grupo y los resultados del CHAEA y del diagnóstico levantados la semana del 17 al 20 de septiembre. Los niveles y el estilo dominante se calculan solos.</t>
  </si>
  <si>
    <t xml:space="preserve">2. Asistencia</t>
  </si>
  <si>
    <t xml:space="preserve">Se llena cada sesión, en el momento. Usa A (asistió), F (falta) o J (justificada).</t>
  </si>
  <si>
    <t xml:space="preserve">3. Entregables</t>
  </si>
  <si>
    <t xml:space="preserve">Una fila por equipo y proyecto. Se capturan los seis criterios de la rúbrica, de 0 a 3.</t>
  </si>
  <si>
    <t xml:space="preserve">4. Bitácora IA</t>
  </si>
  <si>
    <t xml:space="preserve">Una calificación de 0 a 10 por alumno y proyecto, sobre la calidad de la interrogación al chatbot, no sobre la cantidad de uso.</t>
  </si>
  <si>
    <t xml:space="preserve">5. Exámenes</t>
  </si>
  <si>
    <t xml:space="preserve">Los tres exámenes escritos, de 0 a 100.</t>
  </si>
  <si>
    <t xml:space="preserve">6. Calificaciones</t>
  </si>
  <si>
    <t xml:space="preserve">No se toca: calcula todo. Es la hoja que se usa para el acta.</t>
  </si>
  <si>
    <t xml:space="preserve">7. Riesgo</t>
  </si>
  <si>
    <t xml:space="preserve">No se toca: semáforo de deserción. Revísala cada lunes, cinco minutos.</t>
  </si>
  <si>
    <t xml:space="preserve">8. Diario docente</t>
  </si>
  <si>
    <t xml:space="preserve">Se llena al terminar cada sesión, en cinco minutos. Es la materia prima de la evaluación del método y de cualquier publicación posterior.</t>
  </si>
  <si>
    <t xml:space="preserve">9. Evaluación del método</t>
  </si>
  <si>
    <t xml:space="preserve">Se llena al cierre del trimestre, con los datos que las hojas anteriores ya reunieron.</t>
  </si>
  <si>
    <t xml:space="preserve">CÓDIGO DE COLOR</t>
  </si>
  <si>
    <t xml:space="preserve">Azul</t>
  </si>
  <si>
    <t xml:space="preserve">Celda que tú capturas.</t>
  </si>
  <si>
    <t xml:space="preserve">Negro</t>
  </si>
  <si>
    <t xml:space="preserve">Fórmula. No la sobrescribas.</t>
  </si>
  <si>
    <t xml:space="preserve">Fondo amarillo</t>
  </si>
  <si>
    <t xml:space="preserve">Parámetro que puedes ajustar (ponderaciones, umbrales).</t>
  </si>
  <si>
    <t xml:space="preserve">Gris cursiva</t>
  </si>
  <si>
    <t xml:space="preserve">Fila de ejemplo. Bórrala antes de usar el libro.</t>
  </si>
  <si>
    <t xml:space="preserve">PONDERACIONES</t>
  </si>
  <si>
    <t xml:space="preserve">Están en la hoja Calificaciones, celdas con fondo amarillo. Suman 100% y cumplen el programa oficial: 70% en evaluaciones periódicas escritas, 30% en el resto.</t>
  </si>
  <si>
    <t xml:space="preserve">ADVERTENCIA</t>
  </si>
  <si>
    <t xml:space="preserve">Este libro no sustituye el acta oficial. Es un instrumento de trabajo del profesor.</t>
  </si>
  <si>
    <t xml:space="preserve">Baremo general del CHAEA (Alonso, Gallego y Honey, 1994)</t>
  </si>
  <si>
    <t xml:space="preserve">Estilo</t>
  </si>
  <si>
    <t xml:space="preserve">Muy baja (10%)</t>
  </si>
  <si>
    <t xml:space="preserve">Baja (20%)</t>
  </si>
  <si>
    <t xml:space="preserve">Moderada (40%)</t>
  </si>
  <si>
    <t xml:space="preserve">Alta (20%)</t>
  </si>
  <si>
    <t xml:space="preserve">Muy alta (10%)</t>
  </si>
  <si>
    <t xml:space="preserve">Activo</t>
  </si>
  <si>
    <t xml:space="preserve">0 – 6</t>
  </si>
  <si>
    <t xml:space="preserve">7 – 8</t>
  </si>
  <si>
    <t xml:space="preserve">9 – 12</t>
  </si>
  <si>
    <t xml:space="preserve">13 – 14</t>
  </si>
  <si>
    <t xml:space="preserve">15 – 20</t>
  </si>
  <si>
    <t xml:space="preserve">Reflexivo</t>
  </si>
  <si>
    <t xml:space="preserve">0 – 10</t>
  </si>
  <si>
    <t xml:space="preserve">11 – 13</t>
  </si>
  <si>
    <t xml:space="preserve">14 – 17</t>
  </si>
  <si>
    <t xml:space="preserve">18 – 19</t>
  </si>
  <si>
    <t xml:space="preserve">20</t>
  </si>
  <si>
    <t xml:space="preserve">Teórico</t>
  </si>
  <si>
    <t xml:space="preserve">7 – 9</t>
  </si>
  <si>
    <t xml:space="preserve">10 – 13</t>
  </si>
  <si>
    <t xml:space="preserve">14 – 15</t>
  </si>
  <si>
    <t xml:space="preserve">16 – 20</t>
  </si>
  <si>
    <t xml:space="preserve">Pragmático</t>
  </si>
  <si>
    <t xml:space="preserve">0 – 8</t>
  </si>
  <si>
    <t xml:space="preserve">9 – 10</t>
  </si>
  <si>
    <t xml:space="preserve">Las cuatro escalas NO son comparables en bruto: un 14 en reflexivo no equivale a un 14 en activo. El baremo convierte la puntuación a un nivel de preferencia relativo a la población normativa (muestra de 1,371 personas). El estilo dominante es aquel donde se alcanza el nivel más alto, no la puntuación bruta mayor.</t>
  </si>
  <si>
    <t xml:space="preserve">Nivel 2 desde</t>
  </si>
  <si>
    <t xml:space="preserve">Nivel 3 desde</t>
  </si>
  <si>
    <t xml:space="preserve">Nivel 4 desde</t>
  </si>
  <si>
    <t xml:space="preserve">Nivel 5 desde</t>
  </si>
  <si>
    <t xml:space="preserve">Etiqueta</t>
  </si>
  <si>
    <t xml:space="preserve">Tabla auxiliar para las fórmulas de la hoja Alumnos. No modificar.</t>
  </si>
  <si>
    <t xml:space="preserve">Etiquetas:</t>
  </si>
  <si>
    <t xml:space="preserve">Alumnos · perfil de entrada</t>
  </si>
  <si>
    <t xml:space="preserve">#</t>
  </si>
  <si>
    <t xml:space="preserve">Nombre completo</t>
  </si>
  <si>
    <t xml:space="preserve">Correo</t>
  </si>
  <si>
    <t xml:space="preserve">Equipo</t>
  </si>
  <si>
    <t xml:space="preserve">Rol P1</t>
  </si>
  <si>
    <t xml:space="preserve">Rol P2</t>
  </si>
  <si>
    <t xml:space="preserve">Rol P3</t>
  </si>
  <si>
    <t xml:space="preserve">CHAEA Activo</t>
  </si>
  <si>
    <t xml:space="preserve">CHAEA Reflex.</t>
  </si>
  <si>
    <t xml:space="preserve">CHAEA Teórico</t>
  </si>
  <si>
    <t xml:space="preserve">CHAEA Pragm.</t>
  </si>
  <si>
    <t xml:space="preserve">Niv A</t>
  </si>
  <si>
    <t xml:space="preserve">Niv R</t>
  </si>
  <si>
    <t xml:space="preserve">Niv T</t>
  </si>
  <si>
    <t xml:space="preserve">Niv P</t>
  </si>
  <si>
    <t xml:space="preserve">Estilo dominante</t>
  </si>
  <si>
    <t xml:space="preserve">Diagnóstico (0-17)</t>
  </si>
  <si>
    <t xml:space="preserve">Punto de partida</t>
  </si>
  <si>
    <t xml:space="preserve">¿Contestó pre-curso?</t>
  </si>
  <si>
    <t xml:space="preserve">EJEMPLO — borrar esta fila</t>
  </si>
  <si>
    <t xml:space="preserve">ejemplo@xanum.uam.mx</t>
  </si>
  <si>
    <t xml:space="preserve">E1</t>
  </si>
  <si>
    <t xml:space="preserve">Explorador</t>
  </si>
  <si>
    <t xml:space="preserve">Cronista</t>
  </si>
  <si>
    <t xml:space="preserve">Arquitecto</t>
  </si>
  <si>
    <t xml:space="preserve">Sí</t>
  </si>
  <si>
    <t xml:space="preserve">Asistencia · A = asistió · F = falta · J = justificada</t>
  </si>
  <si>
    <t xml:space="preserve">Se llena en el momento, cada sesión. Las columnas de la derecha se calculan solas.</t>
  </si>
  <si>
    <t xml:space="preserve">21-sep</t>
  </si>
  <si>
    <t xml:space="preserve">23-sep</t>
  </si>
  <si>
    <t xml:space="preserve">28-sep</t>
  </si>
  <si>
    <t xml:space="preserve">30-sep</t>
  </si>
  <si>
    <t xml:space="preserve">05-oct</t>
  </si>
  <si>
    <t xml:space="preserve">07-oct</t>
  </si>
  <si>
    <t xml:space="preserve">14-oct</t>
  </si>
  <si>
    <t xml:space="preserve">19-oct</t>
  </si>
  <si>
    <t xml:space="preserve">21-oct</t>
  </si>
  <si>
    <t xml:space="preserve">26-oct</t>
  </si>
  <si>
    <t xml:space="preserve">28-oct</t>
  </si>
  <si>
    <t xml:space="preserve">04-nov</t>
  </si>
  <si>
    <t xml:space="preserve">09-nov</t>
  </si>
  <si>
    <t xml:space="preserve">11-nov</t>
  </si>
  <si>
    <t xml:space="preserve">16-nov</t>
  </si>
  <si>
    <t xml:space="preserve">18-nov</t>
  </si>
  <si>
    <t xml:space="preserve">23-nov</t>
  </si>
  <si>
    <t xml:space="preserve">25-nov</t>
  </si>
  <si>
    <t xml:space="preserve">30-nov</t>
  </si>
  <si>
    <t xml:space="preserve">02-dic</t>
  </si>
  <si>
    <t xml:space="preserve">Nombre</t>
  </si>
  <si>
    <t xml:space="preserve">S01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</si>
  <si>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</si>
  <si>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</si>
  <si>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</si>
  <si>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</si>
  <si>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</si>
  <si>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</si>
  <si>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</si>
  <si>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</si>
  <si>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</si>
  <si>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</si>
  <si>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</si>
  <si>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</si>
  <si>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</si>
  <si>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</si>
  <si>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</si>
  <si>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</si>
  <si>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</si>
  <si>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</si>
  <si>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</si>
  <si>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Faltas</t>
  </si>
  <si>
    <t xml:space="preserve">Justif.</t>
  </si>
  <si>
    <t xml:space="preserve">% asist.</t>
  </si>
  <si>
    <t xml:space="preserve">¿Derecho a examen?</t>
  </si>
  <si>
    <t xml:space="preserve">Entregables de proyecto · rúbrica por equipo (0 a 3 por criterio)</t>
  </si>
  <si>
    <t xml:space="preserve">0 = insuficiente · 1 = suficiente · 2 = bueno · 3 = excelente. Los criterios están en el documento de cada proyecto. El criterio 6 varía por proyecto; ver la rúbrica correspondiente.</t>
  </si>
  <si>
    <t xml:space="preserve">Proyecto</t>
  </si>
  <si>
    <t xml:space="preserve">C1 Evidencia</t>
  </si>
  <si>
    <t xml:space="preserve">C2 Modelo/vocabulario</t>
  </si>
  <si>
    <t xml:space="preserve">C3 Argumentación</t>
  </si>
  <si>
    <t xml:space="preserve">C4 Producto técnico</t>
  </si>
  <si>
    <t xml:space="preserve">C5 Bitácora IA</t>
  </si>
  <si>
    <t xml:space="preserve">C6 Redacción y roles</t>
  </si>
  <si>
    <t xml:space="preserve">Total (18)</t>
  </si>
  <si>
    <t xml:space="preserve">% del entregable</t>
  </si>
  <si>
    <t xml:space="preserve">Fecha de retroalimentación</t>
  </si>
  <si>
    <t xml:space="preserve">P1</t>
  </si>
  <si>
    <t xml:space="preserve">E2</t>
  </si>
  <si>
    <t xml:space="preserve">E3</t>
  </si>
  <si>
    <t xml:space="preserve">E4</t>
  </si>
  <si>
    <t xml:space="preserve">E5</t>
  </si>
  <si>
    <t xml:space="preserve">P2</t>
  </si>
  <si>
    <t xml:space="preserve">P3</t>
  </si>
  <si>
    <t xml:space="preserve">Bitácora de uso de IA · calificación individual de 0 a 10 por proyecto</t>
  </si>
  <si>
    <t xml:space="preserve">Se califica la CALIDAD de la interrogación, no la cantidad de uso. Una bitácora cuyo campo 'qué corregí o descarté' está siempre vacío documenta delegación y se reprueba.</t>
  </si>
  <si>
    <t xml:space="preserve">P1 (0-10)</t>
  </si>
  <si>
    <t xml:space="preserve">P2 (0-10)</t>
  </si>
  <si>
    <t xml:space="preserve">P3 (0-10)</t>
  </si>
  <si>
    <t xml:space="preserve">Promedio</t>
  </si>
  <si>
    <t xml:space="preserve">¿Cazó el error?</t>
  </si>
  <si>
    <t xml:space="preserve">Observaciones</t>
  </si>
  <si>
    <t xml:space="preserve">Exámenes escritos individuales (0 a 100)</t>
  </si>
  <si>
    <t xml:space="preserve">Examen 1: sesión 7 (14-oct) · Examen 2: sesión 12 (04-nov) · Examen 3: semana de evaluaciones globales (7 al 11 de diciembre).</t>
  </si>
  <si>
    <t xml:space="preserve">Examen 1</t>
  </si>
  <si>
    <t xml:space="preserve">Examen 2</t>
  </si>
  <si>
    <t xml:space="preserve">Examen 3</t>
  </si>
  <si>
    <t xml:space="preserve">Promedio simple</t>
  </si>
  <si>
    <t xml:space="preserve">Calificación final · esquema conforme al programa oficial</t>
  </si>
  <si>
    <t xml:space="preserve">Hoja calculada. No capturar nada salvo las ponderaciones en amarillo. Los tres exámenes escritos suman 70%, como exige el programa de la UEA.</t>
  </si>
  <si>
    <t xml:space="preserve">Entregables de proyecto</t>
  </si>
  <si>
    <t xml:space="preserve">Bitácora de IA</t>
  </si>
  <si>
    <t xml:space="preserve">Participación</t>
  </si>
  <si>
    <t xml:space="preserve">Suma</t>
  </si>
  <si>
    <t xml:space="preserve">Subtotal escrito (debe ser 70%)</t>
  </si>
  <si>
    <t xml:space="preserve">Ex1</t>
  </si>
  <si>
    <t xml:space="preserve">Ex2</t>
  </si>
  <si>
    <t xml:space="preserve">Ex3</t>
  </si>
  <si>
    <t xml:space="preserve">Entregables (%)</t>
  </si>
  <si>
    <t xml:space="preserve">Bitácora (%)</t>
  </si>
  <si>
    <t xml:space="preserve">Participación (%)</t>
  </si>
  <si>
    <t xml:space="preserve">Final (0-100)</t>
  </si>
  <si>
    <t xml:space="preserve">Final (0-10)</t>
  </si>
  <si>
    <t xml:space="preserve">Situación</t>
  </si>
  <si>
    <t xml:space="preserve">Semáforo de riesgo de deserción · revisar cada lunes</t>
  </si>
  <si>
    <t xml:space="preserve">ROJO = intervención inmediata (protocolo de 48 horas). ÁMBAR = vigilar. VERDE = sin señales. Umbrales ajustables en las celdas amarillas.</t>
  </si>
  <si>
    <t xml:space="preserve">Faltas para ÁMBAR</t>
  </si>
  <si>
    <t xml:space="preserve">Faltas para ROJO</t>
  </si>
  <si>
    <t xml:space="preserve">Entregas de bitácora faltantes</t>
  </si>
  <si>
    <t xml:space="preserve">Parcial (0-10)</t>
  </si>
  <si>
    <t xml:space="preserve">SEMÁFORO</t>
  </si>
  <si>
    <t xml:space="preserve">Acción tomada / fecha</t>
  </si>
  <si>
    <t xml:space="preserve">Diario docente · se llena al terminar cada sesión, en cinco minutos</t>
  </si>
  <si>
    <t xml:space="preserve">Materia prima para evaluar el método y para cualquier publicación posterior. Los minutos reales por fase permiten comprobar si el microciclo se sostuvo o se comió una fase a las otras.</t>
  </si>
  <si>
    <t xml:space="preserve">Sesión</t>
  </si>
  <si>
    <t xml:space="preserve">Fecha</t>
  </si>
  <si>
    <t xml:space="preserve">Bloque</t>
  </si>
  <si>
    <t xml:space="preserve">Asistentes</t>
  </si>
  <si>
    <t xml:space="preserve">Min. activista</t>
  </si>
  <si>
    <t xml:space="preserve">Min. reflexiva</t>
  </si>
  <si>
    <t xml:space="preserve">Min. teórica</t>
  </si>
  <si>
    <t xml:space="preserve">Min. pragmática</t>
  </si>
  <si>
    <t xml:space="preserve">¿Se cumplió el plan?</t>
  </si>
  <si>
    <t xml:space="preserve">Qué funcionó</t>
  </si>
  <si>
    <t xml:space="preserve">Qué falló</t>
  </si>
  <si>
    <t xml:space="preserve">Ajuste para la próxima</t>
  </si>
  <si>
    <t xml:space="preserve">Arranque</t>
  </si>
  <si>
    <t xml:space="preserve">P1 Activista</t>
  </si>
  <si>
    <t xml:space="preserve">P1 Reflexiva</t>
  </si>
  <si>
    <t xml:space="preserve">P1 Teórica</t>
  </si>
  <si>
    <t xml:space="preserve">P1 Teór→Prag</t>
  </si>
  <si>
    <t xml:space="preserve">Holgura 1</t>
  </si>
  <si>
    <t xml:space="preserve">P1 Pragmática</t>
  </si>
  <si>
    <t xml:space="preserve">P2 Activista</t>
  </si>
  <si>
    <t xml:space="preserve">P2 Reflexiva</t>
  </si>
  <si>
    <t xml:space="preserve">P2 Teórica</t>
  </si>
  <si>
    <t xml:space="preserve">P2 Teór→Prag</t>
  </si>
  <si>
    <t xml:space="preserve">P2 Pragmática</t>
  </si>
  <si>
    <t xml:space="preserve">Holgura 2</t>
  </si>
  <si>
    <t xml:space="preserve">P3 Activista</t>
  </si>
  <si>
    <t xml:space="preserve">P3 Reflexiva</t>
  </si>
  <si>
    <t xml:space="preserve">P3 Teórica</t>
  </si>
  <si>
    <t xml:space="preserve">P3 Teór→Prag</t>
  </si>
  <si>
    <t xml:space="preserve">P3 Pragmática</t>
  </si>
  <si>
    <t xml:space="preserve">Holgura 3</t>
  </si>
  <si>
    <t xml:space="preserve">Holgura 4</t>
  </si>
  <si>
    <t xml:space="preserve">TOTALES</t>
  </si>
  <si>
    <t xml:space="preserve">% del tiempo por fase</t>
  </si>
  <si>
    <t xml:space="preserve">Si una fase se lleva menos del 15% del tiempo total, el equilibrio entre estilos no se cumplió.</t>
  </si>
  <si>
    <t xml:space="preserve">Evaluación del método · cierre del trimestre</t>
  </si>
  <si>
    <t xml:space="preserve">1. INDICADORES DUROS</t>
  </si>
  <si>
    <t xml:space="preserve">Inscritos al inicio</t>
  </si>
  <si>
    <t xml:space="preserve">Dato de acta</t>
  </si>
  <si>
    <t xml:space="preserve">Alumnos que concluyeron</t>
  </si>
  <si>
    <t xml:space="preserve">Capturar al cierre</t>
  </si>
  <si>
    <t xml:space="preserve">Tasa de retención</t>
  </si>
  <si>
    <t xml:space="preserve">Meta: superar el promedio histórico del grupo</t>
  </si>
  <si>
    <t xml:space="preserve">Aprobados</t>
  </si>
  <si>
    <t xml:space="preserve">Tasa de aprobación sobre inscritos</t>
  </si>
  <si>
    <t xml:space="preserve">Promedio del grupo (0-10)</t>
  </si>
  <si>
    <t xml:space="preserve">Calculado</t>
  </si>
  <si>
    <t xml:space="preserve">Diagnóstico inicial promedio (0-17)</t>
  </si>
  <si>
    <t xml:space="preserve">Diagnóstico final promedio (0-17)</t>
  </si>
  <si>
    <t xml:space="preserve">Aplicar el MISMO instrumento en la sesión 20</t>
  </si>
  <si>
    <t xml:space="preserve">Ganancia de aprendizaje</t>
  </si>
  <si>
    <t xml:space="preserve">La medida más limpia del efecto del método</t>
  </si>
  <si>
    <t xml:space="preserve">2. PREGUNTAS DE VALORACIÓN DOCENTE</t>
  </si>
  <si>
    <t xml:space="preserve">¿El proyecto 1 fue realizable en cinco sesiones o hubo que usar holgura?</t>
  </si>
  <si>
    <t xml:space="preserve">¿En qué sesión concreta se perdió a cada alumno que desertó? ¿Qué señal hubo antes?</t>
  </si>
  <si>
    <t xml:space="preserve">¿La fase activista produjo el enganche esperado, o los alumnos pidieron que se les explicara primero?</t>
  </si>
  <si>
    <t xml:space="preserve">¿El laboratorio simulado funcionó, o el chatbot resultó demasiado poco confiable para sostenerlo?</t>
  </si>
  <si>
    <t xml:space="preserve">¿Los alumnos detectaron errores del chatbot por sí solos, o hubo que señalárselos?</t>
  </si>
  <si>
    <t xml:space="preserve">¿La rotación de roles se cumplió o los equipos volvieron al reparto cómodo?</t>
  </si>
  <si>
    <t xml:space="preserve">¿Los exámenes sobre el propio proyecto discriminaron bien entre quien trabajó y quien no?</t>
  </si>
  <si>
    <t xml:space="preserve">¿La distribución de estilos CHAEA se correlacionó con algo observable en el desempeño?</t>
  </si>
  <si>
    <t xml:space="preserve">¿Qué proyecto habría que rediseñar antes de 27-I y por qué?</t>
  </si>
  <si>
    <t xml:space="preserve">¿La carga de trabajo del profesor fue sostenible? ¿Qué parte del seguimiento se abandonó primero?</t>
  </si>
  <si>
    <t xml:space="preserve">3. CRUCE ESTILO CHAEA × DESEMPEÑO</t>
  </si>
  <si>
    <t xml:space="preserve">N</t>
  </si>
  <si>
    <t xml:space="preserve">Promedio final</t>
  </si>
  <si>
    <t xml:space="preserve">Notas</t>
  </si>
  <si>
    <t xml:space="preserve">Con 25 casos no hay potencia estadística: esto es exploratorio. Acumulando trimestres sí la hay, y la pregunta —si el diseño equilibrado por estilos reduce la deserción en primer trimestre— es una pregunta abierta y publicable. Conviene guardar estos datos anonimizados cada trimestre.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</si>
</sst>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2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21.75" hidden="false" customHeight="true" outlineLevel="0" collapsed="false">
      <c r="A1" s="1" t="s">
        <v>0</v>
      </c>
      <c r="B1" s="1"/>
    </row>
    <row r="3" customFormat="false" ht="27.75" hidden="false" customHeight="true" outlineLevel="0" collapsed="false">
      <c r="A3" s="2" t="s">
        <v>1</v>
      </c>
      <c r="B3" s="3" t="s">
        <v>2</v>
      </c>
    </row>
    <row r="4" customFormat="false" ht="15" hidden="false" customHeight="true" outlineLevel="0" collapsed="false">
      <c r="A4" s="2"/>
      <c r="B4" s="3"/>
    </row>
    <row r="5" customFormat="false" ht="15" hidden="false" customHeight="true" outlineLevel="0" collapsed="false">
      <c r="A5" s="2" t="s">
        <v>3</v>
      </c>
      <c r="B5" s="3"/>
    </row>
    <row r="6" customFormat="false" ht="27.75" hidden="false" customHeight="true" outlineLevel="0" collapsed="false">
      <c r="A6" s="2" t="s">
        <v>4</v>
      </c>
      <c r="B6" s="3" t="s">
        <v>5</v>
      </c>
    </row>
    <row r="7" customFormat="false" ht="15" hidden="false" customHeight="true" outlineLevel="0" collapsed="false">
      <c r="A7" s="2" t="s">
        <v>6</v>
      </c>
      <c r="B7" s="3" t="s">
        <v>7</v>
      </c>
    </row>
    <row r="8" customFormat="false" ht="15" hidden="false" customHeight="true" outlineLevel="0" collapsed="false">
      <c r="A8" s="2" t="s">
        <v>8</v>
      </c>
      <c r="B8" s="3" t="s">
        <v>9</v>
      </c>
    </row>
    <row r="9" customFormat="false" ht="27.75" hidden="false" customHeight="true" outlineLevel="0" collapsed="false">
      <c r="A9" s="2" t="s">
        <v>10</v>
      </c>
      <c r="B9" s="3" t="s">
        <v>11</v>
      </c>
    </row>
    <row r="10" customFormat="false" ht="15" hidden="false" customHeight="true" outlineLevel="0" collapsed="false">
      <c r="A10" s="2" t="s">
        <v>12</v>
      </c>
      <c r="B10" s="3" t="s">
        <v>13</v>
      </c>
    </row>
    <row r="11" customFormat="false" ht="15" hidden="false" customHeight="true" outlineLevel="0" collapsed="false">
      <c r="A11" s="2" t="s">
        <v>14</v>
      </c>
      <c r="B11" s="3" t="s">
        <v>15</v>
      </c>
    </row>
    <row r="12" customFormat="false" ht="15" hidden="false" customHeight="true" outlineLevel="0" collapsed="false">
      <c r="A12" s="2" t="s">
        <v>16</v>
      </c>
      <c r="B12" s="3" t="s">
        <v>17</v>
      </c>
    </row>
    <row r="13" customFormat="false" ht="27.75" hidden="false" customHeight="true" outlineLevel="0" collapsed="false">
      <c r="A13" s="2" t="s">
        <v>18</v>
      </c>
      <c r="B13" s="3" t="s">
        <v>19</v>
      </c>
    </row>
    <row r="14" customFormat="false" ht="15" hidden="false" customHeight="true" outlineLevel="0" collapsed="false">
      <c r="A14" s="2" t="s">
        <v>20</v>
      </c>
      <c r="B14" s="3" t="s">
        <v>21</v>
      </c>
    </row>
    <row r="15" customFormat="false" ht="15" hidden="false" customHeight="true" outlineLevel="0" collapsed="false">
      <c r="A15" s="2"/>
      <c r="B15" s="3"/>
    </row>
    <row r="16" customFormat="false" ht="15" hidden="false" customHeight="true" outlineLevel="0" collapsed="false">
      <c r="A16" s="2" t="s">
        <v>22</v>
      </c>
      <c r="B16" s="3"/>
    </row>
    <row r="17" customFormat="false" ht="15" hidden="false" customHeight="true" outlineLevel="0" collapsed="false">
      <c r="A17" s="2" t="s">
        <v>23</v>
      </c>
      <c r="B17" s="3" t="s">
        <v>24</v>
      </c>
    </row>
    <row r="18" customFormat="false" ht="15" hidden="false" customHeight="true" outlineLevel="0" collapsed="false">
      <c r="A18" s="2" t="s">
        <v>25</v>
      </c>
      <c r="B18" s="3" t="s">
        <v>26</v>
      </c>
    </row>
    <row r="19" customFormat="false" ht="15" hidden="false" customHeight="true" outlineLevel="0" collapsed="false">
      <c r="A19" s="4" t="s">
        <v>27</v>
      </c>
      <c r="B19" s="3" t="s">
        <v>28</v>
      </c>
    </row>
    <row r="20" customFormat="false" ht="15" hidden="false" customHeight="true" outlineLevel="0" collapsed="false">
      <c r="A20" s="2" t="s">
        <v>29</v>
      </c>
      <c r="B20" s="3" t="s">
        <v>30</v>
      </c>
    </row>
    <row r="21" customFormat="false" ht="15" hidden="false" customHeight="true" outlineLevel="0" collapsed="false">
      <c r="A21" s="2"/>
      <c r="B21" s="3"/>
    </row>
    <row r="22" customFormat="false" ht="27.75" hidden="false" customHeight="true" outlineLevel="0" collapsed="false">
      <c r="A22" s="2" t="s">
        <v>31</v>
      </c>
      <c r="B22" s="3" t="s">
        <v>32</v>
      </c>
    </row>
    <row r="23" customFormat="false" ht="15" hidden="false" customHeight="true" outlineLevel="0" collapsed="false">
      <c r="A23" s="2" t="s">
        <v>33</v>
      </c>
      <c r="B23" s="3" t="s">
        <v>34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35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5" t="s">
        <v>36</v>
      </c>
      <c r="B3" s="5" t="s">
        <v>37</v>
      </c>
      <c r="C3" s="5" t="s">
        <v>38</v>
      </c>
      <c r="D3" s="5" t="s">
        <v>39</v>
      </c>
      <c r="E3" s="5" t="s">
        <v>40</v>
      </c>
      <c r="F3" s="5" t="s">
        <v>41</v>
      </c>
    </row>
    <row r="4" customFormat="false" ht="15" hidden="false" customHeight="false" outlineLevel="0" collapsed="false">
      <c r="A4" s="6" t="s">
        <v>42</v>
      </c>
      <c r="B4" s="7" t="s">
        <v>43</v>
      </c>
      <c r="C4" s="7" t="s">
        <v>44</v>
      </c>
      <c r="D4" s="7" t="s">
        <v>45</v>
      </c>
      <c r="E4" s="7" t="s">
        <v>46</v>
      </c>
      <c r="F4" s="7" t="s">
        <v>47</v>
      </c>
    </row>
    <row r="5" customFormat="false" ht="15" hidden="false" customHeight="false" outlineLevel="0" collapsed="false">
      <c r="A5" s="6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</row>
    <row r="6" customFormat="false" ht="15" hidden="false" customHeight="false" outlineLevel="0" collapsed="false">
      <c r="A6" s="6" t="s">
        <v>54</v>
      </c>
      <c r="B6" s="7" t="s">
        <v>43</v>
      </c>
      <c r="C6" s="7" t="s">
        <v>55</v>
      </c>
      <c r="D6" s="7" t="s">
        <v>56</v>
      </c>
      <c r="E6" s="7" t="s">
        <v>57</v>
      </c>
      <c r="F6" s="7" t="s">
        <v>58</v>
      </c>
    </row>
    <row r="7" customFormat="false" ht="15" hidden="false" customHeight="false" outlineLevel="0" collapsed="false">
      <c r="A7" s="6" t="s">
        <v>59</v>
      </c>
      <c r="B7" s="7" t="s">
        <v>60</v>
      </c>
      <c r="C7" s="7" t="s">
        <v>61</v>
      </c>
      <c r="D7" s="7" t="s">
        <v>50</v>
      </c>
      <c r="E7" s="7" t="s">
        <v>57</v>
      </c>
      <c r="F7" s="7" t="s">
        <v>58</v>
      </c>
    </row>
    <row r="9" customFormat="false" ht="15" hidden="false" customHeight="true" outlineLevel="0" collapsed="false">
      <c r="A9" s="8" t="s">
        <v>62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</row>
    <row r="12" customFormat="false" ht="30" hidden="false" customHeight="true" outlineLevel="0" collapsed="false">
      <c r="A12" s="5" t="s">
        <v>36</v>
      </c>
      <c r="B12" s="5" t="s">
        <v>63</v>
      </c>
      <c r="C12" s="5" t="s">
        <v>64</v>
      </c>
      <c r="D12" s="5" t="s">
        <v>65</v>
      </c>
      <c r="E12" s="5" t="s">
        <v>66</v>
      </c>
      <c r="F12" s="5" t="s">
        <v>67</v>
      </c>
    </row>
    <row r="13" customFormat="false" ht="15" hidden="false" customHeight="false" outlineLevel="0" collapsed="false">
      <c r="A13" s="6" t="s">
        <v>42</v>
      </c>
      <c r="B13" s="7" t="n">
        <v>7</v>
      </c>
      <c r="C13" s="7" t="n">
        <v>9</v>
      </c>
      <c r="D13" s="7" t="n">
        <v>13</v>
      </c>
      <c r="E13" s="7" t="n">
        <v>15</v>
      </c>
    </row>
    <row r="14" customFormat="false" ht="15" hidden="false" customHeight="false" outlineLevel="0" collapsed="false">
      <c r="A14" s="6" t="s">
        <v>48</v>
      </c>
      <c r="B14" s="7" t="n">
        <v>11</v>
      </c>
      <c r="C14" s="7" t="n">
        <v>14</v>
      </c>
      <c r="D14" s="7" t="n">
        <v>18</v>
      </c>
      <c r="E14" s="7" t="n">
        <v>20</v>
      </c>
    </row>
    <row r="15" customFormat="false" ht="15" hidden="false" customHeight="false" outlineLevel="0" collapsed="false">
      <c r="A15" s="6" t="s">
        <v>54</v>
      </c>
      <c r="B15" s="7" t="n">
        <v>7</v>
      </c>
      <c r="C15" s="7" t="n">
        <v>10</v>
      </c>
      <c r="D15" s="7" t="n">
        <v>14</v>
      </c>
      <c r="E15" s="7" t="n">
        <v>16</v>
      </c>
    </row>
    <row r="16" customFormat="false" ht="15" hidden="false" customHeight="false" outlineLevel="0" collapsed="false">
      <c r="A16" s="6" t="s">
        <v>59</v>
      </c>
      <c r="B16" s="7" t="n">
        <v>9</v>
      </c>
      <c r="C16" s="7" t="n">
        <v>11</v>
      </c>
      <c r="D16" s="7" t="n">
        <v>14</v>
      </c>
      <c r="E16" s="7" t="n">
        <v>16</v>
      </c>
    </row>
    <row r="17" customFormat="false" ht="15" hidden="false" customHeight="false" outlineLevel="0" collapsed="false">
      <c r="A17" s="9" t="s">
        <v>68</v>
      </c>
    </row>
    <row r="18" customFormat="false" ht="15" hidden="false" customHeight="false" outlineLevel="0" collapsed="false">
      <c r="A18" s="9" t="s">
        <v>69</v>
      </c>
      <c r="B18" s="10" t="s">
        <v>42</v>
      </c>
      <c r="C18" s="10" t="s">
        <v>48</v>
      </c>
      <c r="D18" s="10" t="s">
        <v>54</v>
      </c>
      <c r="E18" s="10" t="s">
        <v>59</v>
      </c>
    </row>
  </sheetData>
  <mergeCells count="2">
    <mergeCell ref="A1:F1"/>
    <mergeCell ref="A9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7" min="5" style="0" width="13"/>
    <col collapsed="false" customWidth="true" hidden="false" outlineLevel="0" max="11" min="8" style="0" width="12"/>
    <col collapsed="false" customWidth="true" hidden="false" outlineLevel="0" max="15" min="12" style="0" width="7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18" min="18" style="0" width="22"/>
    <col collapsed="false" customWidth="true" hidden="false" outlineLevel="0" max="19" min="19" style="0" width="18"/>
  </cols>
  <sheetData>
    <row r="1" customFormat="false" ht="21.75" hidden="false" customHeight="true" outlineLevel="0" collapsed="false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30" hidden="false" customHeight="true" outlineLevel="0" collapsed="false">
      <c r="A3" s="5" t="s">
        <v>71</v>
      </c>
      <c r="B3" s="5" t="s">
        <v>72</v>
      </c>
      <c r="C3" s="5" t="s">
        <v>73</v>
      </c>
      <c r="D3" s="5" t="s">
        <v>74</v>
      </c>
      <c r="E3" s="5" t="s">
        <v>75</v>
      </c>
      <c r="F3" s="5" t="s">
        <v>76</v>
      </c>
      <c r="G3" s="5" t="s">
        <v>77</v>
      </c>
      <c r="H3" s="5" t="s">
        <v>78</v>
      </c>
      <c r="I3" s="5" t="s">
        <v>79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86</v>
      </c>
      <c r="Q3" s="5" t="s">
        <v>87</v>
      </c>
      <c r="R3" s="5" t="s">
        <v>88</v>
      </c>
      <c r="S3" s="5" t="s">
        <v>89</v>
      </c>
    </row>
    <row r="4" customFormat="false" ht="15" hidden="false" customHeight="false" outlineLevel="0" collapsed="false">
      <c r="A4" s="11" t="n">
        <v>1</v>
      </c>
      <c r="B4" s="12" t="s">
        <v>90</v>
      </c>
      <c r="C4" s="12" t="s">
        <v>91</v>
      </c>
      <c r="D4" s="11" t="s">
        <v>92</v>
      </c>
      <c r="E4" s="11" t="s">
        <v>93</v>
      </c>
      <c r="F4" s="11" t="s">
        <v>94</v>
      </c>
      <c r="G4" s="11" t="s">
        <v>95</v>
      </c>
      <c r="H4" s="11" t="n">
        <v>11</v>
      </c>
      <c r="I4" s="11" t="n">
        <v>15</v>
      </c>
      <c r="J4" s="11" t="n">
        <v>9</v>
      </c>
      <c r="K4" s="11" t="n">
        <v>13</v>
      </c>
      <c r="L4" s="7" t="n">
        <f aca="false">IF(H4="","",IF(H4&gt;=Baremo!$E$13,5,IF(H4&gt;=Baremo!$D$13,4,IF(H4&gt;=Baremo!$C$13,3,IF(H4&gt;=Baremo!$B$13,2,1)))))</f>
        <v>3</v>
      </c>
      <c r="M4" s="7" t="n">
        <f aca="false">IF(I4="","",IF(I4&gt;=Baremo!$E$14,5,IF(I4&gt;=Baremo!$D$14,4,IF(I4&gt;=Baremo!$C$14,3,IF(I4&gt;=Baremo!$B$14,2,1)))))</f>
        <v>3</v>
      </c>
      <c r="N4" s="7" t="n">
        <f aca="false">IF(J4="","",IF(J4&gt;=Baremo!$E$15,5,IF(J4&gt;=Baremo!$D$15,4,IF(J4&gt;=Baremo!$C$15,3,IF(J4&gt;=Baremo!$B$15,2,1)))))</f>
        <v>2</v>
      </c>
      <c r="O4" s="7" t="n">
        <f aca="false">IF(K4="","",IF(K4&gt;=Baremo!$E$16,5,IF(K4&gt;=Baremo!$D$16,4,IF(K4&gt;=Baremo!$C$16,3,IF(K4&gt;=Baremo!$B$16,2,1)))))</f>
        <v>3</v>
      </c>
      <c r="P4" s="7" t="str">
        <f aca="false">IFERROR(INDEX(Baremo!$B$18:$E$18,MATCH(MAX(L4:O4),L4:O4,0)),"")</f>
        <v>Activo</v>
      </c>
      <c r="Q4" s="13" t="n">
        <v>9</v>
      </c>
      <c r="R4" s="7" t="str">
        <f aca="false">IF(Q4="","",IF(Q4&lt;=6,"Elemental",IF(Q4&lt;=10,"Funcional",IF(Q4&lt;=14,"Sólido","Avanzado"))))</f>
        <v>Funcional</v>
      </c>
      <c r="S4" s="13" t="s">
        <v>96</v>
      </c>
    </row>
    <row r="5" customFormat="false" ht="15" hidden="false" customHeight="false" outlineLevel="0" collapsed="false">
      <c r="A5" s="7" t="n">
        <v>1</v>
      </c>
      <c r="B5" s="14"/>
      <c r="C5" s="14"/>
      <c r="D5" s="15"/>
      <c r="E5" s="15"/>
      <c r="F5" s="15"/>
      <c r="G5" s="15"/>
      <c r="H5" s="15"/>
      <c r="I5" s="15"/>
      <c r="J5" s="15"/>
      <c r="K5" s="15"/>
      <c r="L5" s="7" t="str">
        <f aca="false">IF(H5="","",IF(H5&gt;=Baremo!$E$13,5,IF(H5&gt;=Baremo!$D$13,4,IF(H5&gt;=Baremo!$C$13,3,IF(H5&gt;=Baremo!$B$13,2,1)))))</f>
        <v/>
      </c>
      <c r="M5" s="7" t="str">
        <f aca="false">IF(I5="","",IF(I5&gt;=Baremo!$E$14,5,IF(I5&gt;=Baremo!$D$14,4,IF(I5&gt;=Baremo!$C$14,3,IF(I5&gt;=Baremo!$B$14,2,1)))))</f>
        <v/>
      </c>
      <c r="N5" s="7" t="str">
        <f aca="false">IF(J5="","",IF(J5&gt;=Baremo!$E$15,5,IF(J5&gt;=Baremo!$D$15,4,IF(J5&gt;=Baremo!$C$15,3,IF(J5&gt;=Baremo!$B$15,2,1)))))</f>
        <v/>
      </c>
      <c r="O5" s="7" t="str">
        <f aca="false">IF(K5="","",IF(K5&gt;=Baremo!$E$16,5,IF(K5&gt;=Baremo!$D$16,4,IF(K5&gt;=Baremo!$C$16,3,IF(K5&gt;=Baremo!$B$16,2,1)))))</f>
        <v/>
      </c>
      <c r="P5" s="7" t="str">
        <f aca="false">IFERROR(INDEX(Baremo!$B$18:$E$18,MATCH(MAX(L5:O5),L5:O5,0)),"")</f>
        <v/>
      </c>
      <c r="Q5" s="15"/>
      <c r="R5" s="7" t="str">
        <f aca="false">IF(Q5="","",IF(Q5&lt;=6,"Elemental",IF(Q5&lt;=10,"Funcional",IF(Q5&lt;=14,"Sólido","Avanzado"))))</f>
        <v/>
      </c>
      <c r="S5" s="15"/>
    </row>
    <row r="6" customFormat="false" ht="15" hidden="false" customHeight="false" outlineLevel="0" collapsed="false">
      <c r="A6" s="7" t="n">
        <v>2</v>
      </c>
      <c r="B6" s="14"/>
      <c r="C6" s="14"/>
      <c r="D6" s="15"/>
      <c r="E6" s="15"/>
      <c r="F6" s="15"/>
      <c r="G6" s="15"/>
      <c r="H6" s="15"/>
      <c r="I6" s="15"/>
      <c r="J6" s="15"/>
      <c r="K6" s="15"/>
      <c r="L6" s="7" t="str">
        <f aca="false">IF(H6="","",IF(H6&gt;=Baremo!$E$13,5,IF(H6&gt;=Baremo!$D$13,4,IF(H6&gt;=Baremo!$C$13,3,IF(H6&gt;=Baremo!$B$13,2,1)))))</f>
        <v/>
      </c>
      <c r="M6" s="7" t="str">
        <f aca="false">IF(I6="","",IF(I6&gt;=Baremo!$E$14,5,IF(I6&gt;=Baremo!$D$14,4,IF(I6&gt;=Baremo!$C$14,3,IF(I6&gt;=Baremo!$B$14,2,1)))))</f>
        <v/>
      </c>
      <c r="N6" s="7" t="str">
        <f aca="false">IF(J6="","",IF(J6&gt;=Baremo!$E$15,5,IF(J6&gt;=Baremo!$D$15,4,IF(J6&gt;=Baremo!$C$15,3,IF(J6&gt;=Baremo!$B$15,2,1)))))</f>
        <v/>
      </c>
      <c r="O6" s="7" t="str">
        <f aca="false">IF(K6="","",IF(K6&gt;=Baremo!$E$16,5,IF(K6&gt;=Baremo!$D$16,4,IF(K6&gt;=Baremo!$C$16,3,IF(K6&gt;=Baremo!$B$16,2,1)))))</f>
        <v/>
      </c>
      <c r="P6" s="7" t="str">
        <f aca="false">IFERROR(INDEX(Baremo!$B$18:$E$18,MATCH(MAX(L6:O6),L6:O6,0)),"")</f>
        <v/>
      </c>
      <c r="Q6" s="15"/>
      <c r="R6" s="7" t="str">
        <f aca="false">IF(Q6="","",IF(Q6&lt;=6,"Elemental",IF(Q6&lt;=10,"Funcional",IF(Q6&lt;=14,"Sólido","Avanzado"))))</f>
        <v/>
      </c>
      <c r="S6" s="15"/>
    </row>
    <row r="7" customFormat="false" ht="15" hidden="false" customHeight="false" outlineLevel="0" collapsed="false">
      <c r="A7" s="7" t="n">
        <v>3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7" t="str">
        <f aca="false">IF(H7="","",IF(H7&gt;=Baremo!$E$13,5,IF(H7&gt;=Baremo!$D$13,4,IF(H7&gt;=Baremo!$C$13,3,IF(H7&gt;=Baremo!$B$13,2,1)))))</f>
        <v/>
      </c>
      <c r="M7" s="7" t="str">
        <f aca="false">IF(I7="","",IF(I7&gt;=Baremo!$E$14,5,IF(I7&gt;=Baremo!$D$14,4,IF(I7&gt;=Baremo!$C$14,3,IF(I7&gt;=Baremo!$B$14,2,1)))))</f>
        <v/>
      </c>
      <c r="N7" s="7" t="str">
        <f aca="false">IF(J7="","",IF(J7&gt;=Baremo!$E$15,5,IF(J7&gt;=Baremo!$D$15,4,IF(J7&gt;=Baremo!$C$15,3,IF(J7&gt;=Baremo!$B$15,2,1)))))</f>
        <v/>
      </c>
      <c r="O7" s="7" t="str">
        <f aca="false">IF(K7="","",IF(K7&gt;=Baremo!$E$16,5,IF(K7&gt;=Baremo!$D$16,4,IF(K7&gt;=Baremo!$C$16,3,IF(K7&gt;=Baremo!$B$16,2,1)))))</f>
        <v/>
      </c>
      <c r="P7" s="7" t="str">
        <f aca="false">IFERROR(INDEX(Baremo!$B$18:$E$18,MATCH(MAX(L7:O7),L7:O7,0)),"")</f>
        <v/>
      </c>
      <c r="Q7" s="15"/>
      <c r="R7" s="7" t="str">
        <f aca="false">IF(Q7="","",IF(Q7&lt;=6,"Elemental",IF(Q7&lt;=10,"Funcional",IF(Q7&lt;=14,"Sólido","Avanzado"))))</f>
        <v/>
      </c>
      <c r="S7" s="15"/>
    </row>
    <row r="8" customFormat="false" ht="15" hidden="false" customHeight="false" outlineLevel="0" collapsed="false">
      <c r="A8" s="7" t="n">
        <v>4</v>
      </c>
      <c r="B8" s="14"/>
      <c r="C8" s="14"/>
      <c r="D8" s="15"/>
      <c r="E8" s="15"/>
      <c r="F8" s="15"/>
      <c r="G8" s="15"/>
      <c r="H8" s="15"/>
      <c r="I8" s="15"/>
      <c r="J8" s="15"/>
      <c r="K8" s="15"/>
      <c r="L8" s="7" t="str">
        <f aca="false">IF(H8="","",IF(H8&gt;=Baremo!$E$13,5,IF(H8&gt;=Baremo!$D$13,4,IF(H8&gt;=Baremo!$C$13,3,IF(H8&gt;=Baremo!$B$13,2,1)))))</f>
        <v/>
      </c>
      <c r="M8" s="7" t="str">
        <f aca="false">IF(I8="","",IF(I8&gt;=Baremo!$E$14,5,IF(I8&gt;=Baremo!$D$14,4,IF(I8&gt;=Baremo!$C$14,3,IF(I8&gt;=Baremo!$B$14,2,1)))))</f>
        <v/>
      </c>
      <c r="N8" s="7" t="str">
        <f aca="false">IF(J8="","",IF(J8&gt;=Baremo!$E$15,5,IF(J8&gt;=Baremo!$D$15,4,IF(J8&gt;=Baremo!$C$15,3,IF(J8&gt;=Baremo!$B$15,2,1)))))</f>
        <v/>
      </c>
      <c r="O8" s="7" t="str">
        <f aca="false">IF(K8="","",IF(K8&gt;=Baremo!$E$16,5,IF(K8&gt;=Baremo!$D$16,4,IF(K8&gt;=Baremo!$C$16,3,IF(K8&gt;=Baremo!$B$16,2,1)))))</f>
        <v/>
      </c>
      <c r="P8" s="7" t="str">
        <f aca="false">IFERROR(INDEX(Baremo!$B$18:$E$18,MATCH(MAX(L8:O8),L8:O8,0)),"")</f>
        <v/>
      </c>
      <c r="Q8" s="15"/>
      <c r="R8" s="7" t="str">
        <f aca="false">IF(Q8="","",IF(Q8&lt;=6,"Elemental",IF(Q8&lt;=10,"Funcional",IF(Q8&lt;=14,"Sólido","Avanzado"))))</f>
        <v/>
      </c>
      <c r="S8" s="15"/>
    </row>
    <row r="9" customFormat="false" ht="15" hidden="false" customHeight="false" outlineLevel="0" collapsed="false">
      <c r="A9" s="7" t="n">
        <v>5</v>
      </c>
      <c r="B9" s="14"/>
      <c r="C9" s="14"/>
      <c r="D9" s="15"/>
      <c r="E9" s="15"/>
      <c r="F9" s="15"/>
      <c r="G9" s="15"/>
      <c r="H9" s="15"/>
      <c r="I9" s="15"/>
      <c r="J9" s="15"/>
      <c r="K9" s="15"/>
      <c r="L9" s="7" t="str">
        <f aca="false">IF(H9="","",IF(H9&gt;=Baremo!$E$13,5,IF(H9&gt;=Baremo!$D$13,4,IF(H9&gt;=Baremo!$C$13,3,IF(H9&gt;=Baremo!$B$13,2,1)))))</f>
        <v/>
      </c>
      <c r="M9" s="7" t="str">
        <f aca="false">IF(I9="","",IF(I9&gt;=Baremo!$E$14,5,IF(I9&gt;=Baremo!$D$14,4,IF(I9&gt;=Baremo!$C$14,3,IF(I9&gt;=Baremo!$B$14,2,1)))))</f>
        <v/>
      </c>
      <c r="N9" s="7" t="str">
        <f aca="false">IF(J9="","",IF(J9&gt;=Baremo!$E$15,5,IF(J9&gt;=Baremo!$D$15,4,IF(J9&gt;=Baremo!$C$15,3,IF(J9&gt;=Baremo!$B$15,2,1)))))</f>
        <v/>
      </c>
      <c r="O9" s="7" t="str">
        <f aca="false">IF(K9="","",IF(K9&gt;=Baremo!$E$16,5,IF(K9&gt;=Baremo!$D$16,4,IF(K9&gt;=Baremo!$C$16,3,IF(K9&gt;=Baremo!$B$16,2,1)))))</f>
        <v/>
      </c>
      <c r="P9" s="7" t="str">
        <f aca="false">IFERROR(INDEX(Baremo!$B$18:$E$18,MATCH(MAX(L9:O9),L9:O9,0)),"")</f>
        <v/>
      </c>
      <c r="Q9" s="15"/>
      <c r="R9" s="7" t="str">
        <f aca="false">IF(Q9="","",IF(Q9&lt;=6,"Elemental",IF(Q9&lt;=10,"Funcional",IF(Q9&lt;=14,"Sólido","Avanzado"))))</f>
        <v/>
      </c>
      <c r="S9" s="15"/>
    </row>
    <row r="10" customFormat="false" ht="15" hidden="false" customHeight="false" outlineLevel="0" collapsed="false">
      <c r="A10" s="7" t="n">
        <v>6</v>
      </c>
      <c r="B10" s="14"/>
      <c r="C10" s="14"/>
      <c r="D10" s="15"/>
      <c r="E10" s="15"/>
      <c r="F10" s="15"/>
      <c r="G10" s="15"/>
      <c r="H10" s="15"/>
      <c r="I10" s="15"/>
      <c r="J10" s="15"/>
      <c r="K10" s="15"/>
      <c r="L10" s="7" t="str">
        <f aca="false">IF(H10="","",IF(H10&gt;=Baremo!$E$13,5,IF(H10&gt;=Baremo!$D$13,4,IF(H10&gt;=Baremo!$C$13,3,IF(H10&gt;=Baremo!$B$13,2,1)))))</f>
        <v/>
      </c>
      <c r="M10" s="7" t="str">
        <f aca="false">IF(I10="","",IF(I10&gt;=Baremo!$E$14,5,IF(I10&gt;=Baremo!$D$14,4,IF(I10&gt;=Baremo!$C$14,3,IF(I10&gt;=Baremo!$B$14,2,1)))))</f>
        <v/>
      </c>
      <c r="N10" s="7" t="str">
        <f aca="false">IF(J10="","",IF(J10&gt;=Baremo!$E$15,5,IF(J10&gt;=Baremo!$D$15,4,IF(J10&gt;=Baremo!$C$15,3,IF(J10&gt;=Baremo!$B$15,2,1)))))</f>
        <v/>
      </c>
      <c r="O10" s="7" t="str">
        <f aca="false">IF(K10="","",IF(K10&gt;=Baremo!$E$16,5,IF(K10&gt;=Baremo!$D$16,4,IF(K10&gt;=Baremo!$C$16,3,IF(K10&gt;=Baremo!$B$16,2,1)))))</f>
        <v/>
      </c>
      <c r="P10" s="7" t="str">
        <f aca="false">IFERROR(INDEX(Baremo!$B$18:$E$18,MATCH(MAX(L10:O10),L10:O10,0)),"")</f>
        <v/>
      </c>
      <c r="Q10" s="15"/>
      <c r="R10" s="7" t="str">
        <f aca="false">IF(Q10="","",IF(Q10&lt;=6,"Elemental",IF(Q10&lt;=10,"Funcional",IF(Q10&lt;=14,"Sólido","Avanzado"))))</f>
        <v/>
      </c>
      <c r="S10" s="15"/>
    </row>
    <row r="11" customFormat="false" ht="15" hidden="false" customHeight="false" outlineLevel="0" collapsed="false">
      <c r="A11" s="7" t="n">
        <v>7</v>
      </c>
      <c r="B11" s="14"/>
      <c r="C11" s="14"/>
      <c r="D11" s="15"/>
      <c r="E11" s="15"/>
      <c r="F11" s="15"/>
      <c r="G11" s="15"/>
      <c r="H11" s="15"/>
      <c r="I11" s="15"/>
      <c r="J11" s="15"/>
      <c r="K11" s="15"/>
      <c r="L11" s="7" t="str">
        <f aca="false">IF(H11="","",IF(H11&gt;=Baremo!$E$13,5,IF(H11&gt;=Baremo!$D$13,4,IF(H11&gt;=Baremo!$C$13,3,IF(H11&gt;=Baremo!$B$13,2,1)))))</f>
        <v/>
      </c>
      <c r="M11" s="7" t="str">
        <f aca="false">IF(I11="","",IF(I11&gt;=Baremo!$E$14,5,IF(I11&gt;=Baremo!$D$14,4,IF(I11&gt;=Baremo!$C$14,3,IF(I11&gt;=Baremo!$B$14,2,1)))))</f>
        <v/>
      </c>
      <c r="N11" s="7" t="str">
        <f aca="false">IF(J11="","",IF(J11&gt;=Baremo!$E$15,5,IF(J11&gt;=Baremo!$D$15,4,IF(J11&gt;=Baremo!$C$15,3,IF(J11&gt;=Baremo!$B$15,2,1)))))</f>
        <v/>
      </c>
      <c r="O11" s="7" t="str">
        <f aca="false">IF(K11="","",IF(K11&gt;=Baremo!$E$16,5,IF(K11&gt;=Baremo!$D$16,4,IF(K11&gt;=Baremo!$C$16,3,IF(K11&gt;=Baremo!$B$16,2,1)))))</f>
        <v/>
      </c>
      <c r="P11" s="7" t="str">
        <f aca="false">IFERROR(INDEX(Baremo!$B$18:$E$18,MATCH(MAX(L11:O11),L11:O11,0)),"")</f>
        <v/>
      </c>
      <c r="Q11" s="15"/>
      <c r="R11" s="7" t="str">
        <f aca="false">IF(Q11="","",IF(Q11&lt;=6,"Elemental",IF(Q11&lt;=10,"Funcional",IF(Q11&lt;=14,"Sólido","Avanzado"))))</f>
        <v/>
      </c>
      <c r="S11" s="15"/>
    </row>
    <row r="12" customFormat="false" ht="15" hidden="false" customHeight="false" outlineLevel="0" collapsed="false">
      <c r="A12" s="7" t="n">
        <v>8</v>
      </c>
      <c r="B12" s="14"/>
      <c r="C12" s="14"/>
      <c r="D12" s="15"/>
      <c r="E12" s="15"/>
      <c r="F12" s="15"/>
      <c r="G12" s="15"/>
      <c r="H12" s="15"/>
      <c r="I12" s="15"/>
      <c r="J12" s="15"/>
      <c r="K12" s="15"/>
      <c r="L12" s="7" t="str">
        <f aca="false">IF(H12="","",IF(H12&gt;=Baremo!$E$13,5,IF(H12&gt;=Baremo!$D$13,4,IF(H12&gt;=Baremo!$C$13,3,IF(H12&gt;=Baremo!$B$13,2,1)))))</f>
        <v/>
      </c>
      <c r="M12" s="7" t="str">
        <f aca="false">IF(I12="","",IF(I12&gt;=Baremo!$E$14,5,IF(I12&gt;=Baremo!$D$14,4,IF(I12&gt;=Baremo!$C$14,3,IF(I12&gt;=Baremo!$B$14,2,1)))))</f>
        <v/>
      </c>
      <c r="N12" s="7" t="str">
        <f aca="false">IF(J12="","",IF(J12&gt;=Baremo!$E$15,5,IF(J12&gt;=Baremo!$D$15,4,IF(J12&gt;=Baremo!$C$15,3,IF(J12&gt;=Baremo!$B$15,2,1)))))</f>
        <v/>
      </c>
      <c r="O12" s="7" t="str">
        <f aca="false">IF(K12="","",IF(K12&gt;=Baremo!$E$16,5,IF(K12&gt;=Baremo!$D$16,4,IF(K12&gt;=Baremo!$C$16,3,IF(K12&gt;=Baremo!$B$16,2,1)))))</f>
        <v/>
      </c>
      <c r="P12" s="7" t="str">
        <f aca="false">IFERROR(INDEX(Baremo!$B$18:$E$18,MATCH(MAX(L12:O12),L12:O12,0)),"")</f>
        <v/>
      </c>
      <c r="Q12" s="15"/>
      <c r="R12" s="7" t="str">
        <f aca="false">IF(Q12="","",IF(Q12&lt;=6,"Elemental",IF(Q12&lt;=10,"Funcional",IF(Q12&lt;=14,"Sólido","Avanzado"))))</f>
        <v/>
      </c>
      <c r="S12" s="15"/>
    </row>
    <row r="13" customFormat="false" ht="15" hidden="false" customHeight="false" outlineLevel="0" collapsed="false">
      <c r="A13" s="7" t="n">
        <v>9</v>
      </c>
      <c r="B13" s="14"/>
      <c r="C13" s="14"/>
      <c r="D13" s="15"/>
      <c r="E13" s="15"/>
      <c r="F13" s="15"/>
      <c r="G13" s="15"/>
      <c r="H13" s="15"/>
      <c r="I13" s="15"/>
      <c r="J13" s="15"/>
      <c r="K13" s="15"/>
      <c r="L13" s="7" t="str">
        <f aca="false">IF(H13="","",IF(H13&gt;=Baremo!$E$13,5,IF(H13&gt;=Baremo!$D$13,4,IF(H13&gt;=Baremo!$C$13,3,IF(H13&gt;=Baremo!$B$13,2,1)))))</f>
        <v/>
      </c>
      <c r="M13" s="7" t="str">
        <f aca="false">IF(I13="","",IF(I13&gt;=Baremo!$E$14,5,IF(I13&gt;=Baremo!$D$14,4,IF(I13&gt;=Baremo!$C$14,3,IF(I13&gt;=Baremo!$B$14,2,1)))))</f>
        <v/>
      </c>
      <c r="N13" s="7" t="str">
        <f aca="false">IF(J13="","",IF(J13&gt;=Baremo!$E$15,5,IF(J13&gt;=Baremo!$D$15,4,IF(J13&gt;=Baremo!$C$15,3,IF(J13&gt;=Baremo!$B$15,2,1)))))</f>
        <v/>
      </c>
      <c r="O13" s="7" t="str">
        <f aca="false">IF(K13="","",IF(K13&gt;=Baremo!$E$16,5,IF(K13&gt;=Baremo!$D$16,4,IF(K13&gt;=Baremo!$C$16,3,IF(K13&gt;=Baremo!$B$16,2,1)))))</f>
        <v/>
      </c>
      <c r="P13" s="7" t="str">
        <f aca="false">IFERROR(INDEX(Baremo!$B$18:$E$18,MATCH(MAX(L13:O13),L13:O13,0)),"")</f>
        <v/>
      </c>
      <c r="Q13" s="15"/>
      <c r="R13" s="7" t="str">
        <f aca="false">IF(Q13="","",IF(Q13&lt;=6,"Elemental",IF(Q13&lt;=10,"Funcional",IF(Q13&lt;=14,"Sólido","Avanzado"))))</f>
        <v/>
      </c>
      <c r="S13" s="15"/>
    </row>
    <row r="14" customFormat="false" ht="15" hidden="false" customHeight="false" outlineLevel="0" collapsed="false">
      <c r="A14" s="7" t="n">
        <v>10</v>
      </c>
      <c r="B14" s="14"/>
      <c r="C14" s="14"/>
      <c r="D14" s="15"/>
      <c r="E14" s="15"/>
      <c r="F14" s="15"/>
      <c r="G14" s="15"/>
      <c r="H14" s="15"/>
      <c r="I14" s="15"/>
      <c r="J14" s="15"/>
      <c r="K14" s="15"/>
      <c r="L14" s="7" t="str">
        <f aca="false">IF(H14="","",IF(H14&gt;=Baremo!$E$13,5,IF(H14&gt;=Baremo!$D$13,4,IF(H14&gt;=Baremo!$C$13,3,IF(H14&gt;=Baremo!$B$13,2,1)))))</f>
        <v/>
      </c>
      <c r="M14" s="7" t="str">
        <f aca="false">IF(I14="","",IF(I14&gt;=Baremo!$E$14,5,IF(I14&gt;=Baremo!$D$14,4,IF(I14&gt;=Baremo!$C$14,3,IF(I14&gt;=Baremo!$B$14,2,1)))))</f>
        <v/>
      </c>
      <c r="N14" s="7" t="str">
        <f aca="false">IF(J14="","",IF(J14&gt;=Baremo!$E$15,5,IF(J14&gt;=Baremo!$D$15,4,IF(J14&gt;=Baremo!$C$15,3,IF(J14&gt;=Baremo!$B$15,2,1)))))</f>
        <v/>
      </c>
      <c r="O14" s="7" t="str">
        <f aca="false">IF(K14="","",IF(K14&gt;=Baremo!$E$16,5,IF(K14&gt;=Baremo!$D$16,4,IF(K14&gt;=Baremo!$C$16,3,IF(K14&gt;=Baremo!$B$16,2,1)))))</f>
        <v/>
      </c>
      <c r="P14" s="7" t="str">
        <f aca="false">IFERROR(INDEX(Baremo!$B$18:$E$18,MATCH(MAX(L14:O14),L14:O14,0)),"")</f>
        <v/>
      </c>
      <c r="Q14" s="15"/>
      <c r="R14" s="7" t="str">
        <f aca="false">IF(Q14="","",IF(Q14&lt;=6,"Elemental",IF(Q14&lt;=10,"Funcional",IF(Q14&lt;=14,"Sólido","Avanzado"))))</f>
        <v/>
      </c>
      <c r="S14" s="15"/>
    </row>
    <row r="15" customFormat="false" ht="15" hidden="false" customHeight="false" outlineLevel="0" collapsed="false">
      <c r="A15" s="7" t="n">
        <v>11</v>
      </c>
      <c r="B15" s="14"/>
      <c r="C15" s="14"/>
      <c r="D15" s="15"/>
      <c r="E15" s="15"/>
      <c r="F15" s="15"/>
      <c r="G15" s="15"/>
      <c r="H15" s="15"/>
      <c r="I15" s="15"/>
      <c r="J15" s="15"/>
      <c r="K15" s="15"/>
      <c r="L15" s="7" t="str">
        <f aca="false">IF(H15="","",IF(H15&gt;=Baremo!$E$13,5,IF(H15&gt;=Baremo!$D$13,4,IF(H15&gt;=Baremo!$C$13,3,IF(H15&gt;=Baremo!$B$13,2,1)))))</f>
        <v/>
      </c>
      <c r="M15" s="7" t="str">
        <f aca="false">IF(I15="","",IF(I15&gt;=Baremo!$E$14,5,IF(I15&gt;=Baremo!$D$14,4,IF(I15&gt;=Baremo!$C$14,3,IF(I15&gt;=Baremo!$B$14,2,1)))))</f>
        <v/>
      </c>
      <c r="N15" s="7" t="str">
        <f aca="false">IF(J15="","",IF(J15&gt;=Baremo!$E$15,5,IF(J15&gt;=Baremo!$D$15,4,IF(J15&gt;=Baremo!$C$15,3,IF(J15&gt;=Baremo!$B$15,2,1)))))</f>
        <v/>
      </c>
      <c r="O15" s="7" t="str">
        <f aca="false">IF(K15="","",IF(K15&gt;=Baremo!$E$16,5,IF(K15&gt;=Baremo!$D$16,4,IF(K15&gt;=Baremo!$C$16,3,IF(K15&gt;=Baremo!$B$16,2,1)))))</f>
        <v/>
      </c>
      <c r="P15" s="7" t="str">
        <f aca="false">IFERROR(INDEX(Baremo!$B$18:$E$18,MATCH(MAX(L15:O15),L15:O15,0)),"")</f>
        <v/>
      </c>
      <c r="Q15" s="15"/>
      <c r="R15" s="7" t="str">
        <f aca="false">IF(Q15="","",IF(Q15&lt;=6,"Elemental",IF(Q15&lt;=10,"Funcional",IF(Q15&lt;=14,"Sólido","Avanzado"))))</f>
        <v/>
      </c>
      <c r="S15" s="15"/>
    </row>
    <row r="16" customFormat="false" ht="15" hidden="false" customHeight="false" outlineLevel="0" collapsed="false">
      <c r="A16" s="7" t="n">
        <v>12</v>
      </c>
      <c r="B16" s="14"/>
      <c r="C16" s="14"/>
      <c r="D16" s="15"/>
      <c r="E16" s="15"/>
      <c r="F16" s="15"/>
      <c r="G16" s="15"/>
      <c r="H16" s="15"/>
      <c r="I16" s="15"/>
      <c r="J16" s="15"/>
      <c r="K16" s="15"/>
      <c r="L16" s="7" t="str">
        <f aca="false">IF(H16="","",IF(H16&gt;=Baremo!$E$13,5,IF(H16&gt;=Baremo!$D$13,4,IF(H16&gt;=Baremo!$C$13,3,IF(H16&gt;=Baremo!$B$13,2,1)))))</f>
        <v/>
      </c>
      <c r="M16" s="7" t="str">
        <f aca="false">IF(I16="","",IF(I16&gt;=Baremo!$E$14,5,IF(I16&gt;=Baremo!$D$14,4,IF(I16&gt;=Baremo!$C$14,3,IF(I16&gt;=Baremo!$B$14,2,1)))))</f>
        <v/>
      </c>
      <c r="N16" s="7" t="str">
        <f aca="false">IF(J16="","",IF(J16&gt;=Baremo!$E$15,5,IF(J16&gt;=Baremo!$D$15,4,IF(J16&gt;=Baremo!$C$15,3,IF(J16&gt;=Baremo!$B$15,2,1)))))</f>
        <v/>
      </c>
      <c r="O16" s="7" t="str">
        <f aca="false">IF(K16="","",IF(K16&gt;=Baremo!$E$16,5,IF(K16&gt;=Baremo!$D$16,4,IF(K16&gt;=Baremo!$C$16,3,IF(K16&gt;=Baremo!$B$16,2,1)))))</f>
        <v/>
      </c>
      <c r="P16" s="7" t="str">
        <f aca="false">IFERROR(INDEX(Baremo!$B$18:$E$18,MATCH(MAX(L16:O16),L16:O16,0)),"")</f>
        <v/>
      </c>
      <c r="Q16" s="15"/>
      <c r="R16" s="7" t="str">
        <f aca="false">IF(Q16="","",IF(Q16&lt;=6,"Elemental",IF(Q16&lt;=10,"Funcional",IF(Q16&lt;=14,"Sólido","Avanzado"))))</f>
        <v/>
      </c>
      <c r="S16" s="15"/>
    </row>
    <row r="17" customFormat="false" ht="15" hidden="false" customHeight="false" outlineLevel="0" collapsed="false">
      <c r="A17" s="7" t="n">
        <v>13</v>
      </c>
      <c r="B17" s="14"/>
      <c r="C17" s="14"/>
      <c r="D17" s="15"/>
      <c r="E17" s="15"/>
      <c r="F17" s="15"/>
      <c r="G17" s="15"/>
      <c r="H17" s="15"/>
      <c r="I17" s="15"/>
      <c r="J17" s="15"/>
      <c r="K17" s="15"/>
      <c r="L17" s="7" t="str">
        <f aca="false">IF(H17="","",IF(H17&gt;=Baremo!$E$13,5,IF(H17&gt;=Baremo!$D$13,4,IF(H17&gt;=Baremo!$C$13,3,IF(H17&gt;=Baremo!$B$13,2,1)))))</f>
        <v/>
      </c>
      <c r="M17" s="7" t="str">
        <f aca="false">IF(I17="","",IF(I17&gt;=Baremo!$E$14,5,IF(I17&gt;=Baremo!$D$14,4,IF(I17&gt;=Baremo!$C$14,3,IF(I17&gt;=Baremo!$B$14,2,1)))))</f>
        <v/>
      </c>
      <c r="N17" s="7" t="str">
        <f aca="false">IF(J17="","",IF(J17&gt;=Baremo!$E$15,5,IF(J17&gt;=Baremo!$D$15,4,IF(J17&gt;=Baremo!$C$15,3,IF(J17&gt;=Baremo!$B$15,2,1)))))</f>
        <v/>
      </c>
      <c r="O17" s="7" t="str">
        <f aca="false">IF(K17="","",IF(K17&gt;=Baremo!$E$16,5,IF(K17&gt;=Baremo!$D$16,4,IF(K17&gt;=Baremo!$C$16,3,IF(K17&gt;=Baremo!$B$16,2,1)))))</f>
        <v/>
      </c>
      <c r="P17" s="7" t="str">
        <f aca="false">IFERROR(INDEX(Baremo!$B$18:$E$18,MATCH(MAX(L17:O17),L17:O17,0)),"")</f>
        <v/>
      </c>
      <c r="Q17" s="15"/>
      <c r="R17" s="7" t="str">
        <f aca="false">IF(Q17="","",IF(Q17&lt;=6,"Elemental",IF(Q17&lt;=10,"Funcional",IF(Q17&lt;=14,"Sólido","Avanzado"))))</f>
        <v/>
      </c>
      <c r="S17" s="15"/>
    </row>
    <row r="18" customFormat="false" ht="15" hidden="false" customHeight="false" outlineLevel="0" collapsed="false">
      <c r="A18" s="7" t="n">
        <v>14</v>
      </c>
      <c r="B18" s="14"/>
      <c r="C18" s="14"/>
      <c r="D18" s="15"/>
      <c r="E18" s="15"/>
      <c r="F18" s="15"/>
      <c r="G18" s="15"/>
      <c r="H18" s="15"/>
      <c r="I18" s="15"/>
      <c r="J18" s="15"/>
      <c r="K18" s="15"/>
      <c r="L18" s="7" t="str">
        <f aca="false">IF(H18="","",IF(H18&gt;=Baremo!$E$13,5,IF(H18&gt;=Baremo!$D$13,4,IF(H18&gt;=Baremo!$C$13,3,IF(H18&gt;=Baremo!$B$13,2,1)))))</f>
        <v/>
      </c>
      <c r="M18" s="7" t="str">
        <f aca="false">IF(I18="","",IF(I18&gt;=Baremo!$E$14,5,IF(I18&gt;=Baremo!$D$14,4,IF(I18&gt;=Baremo!$C$14,3,IF(I18&gt;=Baremo!$B$14,2,1)))))</f>
        <v/>
      </c>
      <c r="N18" s="7" t="str">
        <f aca="false">IF(J18="","",IF(J18&gt;=Baremo!$E$15,5,IF(J18&gt;=Baremo!$D$15,4,IF(J18&gt;=Baremo!$C$15,3,IF(J18&gt;=Baremo!$B$15,2,1)))))</f>
        <v/>
      </c>
      <c r="O18" s="7" t="str">
        <f aca="false">IF(K18="","",IF(K18&gt;=Baremo!$E$16,5,IF(K18&gt;=Baremo!$D$16,4,IF(K18&gt;=Baremo!$C$16,3,IF(K18&gt;=Baremo!$B$16,2,1)))))</f>
        <v/>
      </c>
      <c r="P18" s="7" t="str">
        <f aca="false">IFERROR(INDEX(Baremo!$B$18:$E$18,MATCH(MAX(L18:O18),L18:O18,0)),"")</f>
        <v/>
      </c>
      <c r="Q18" s="15"/>
      <c r="R18" s="7" t="str">
        <f aca="false">IF(Q18="","",IF(Q18&lt;=6,"Elemental",IF(Q18&lt;=10,"Funcional",IF(Q18&lt;=14,"Sólido","Avanzado"))))</f>
        <v/>
      </c>
      <c r="S18" s="15"/>
    </row>
    <row r="19" customFormat="false" ht="15" hidden="false" customHeight="false" outlineLevel="0" collapsed="false">
      <c r="A19" s="7" t="n">
        <v>15</v>
      </c>
      <c r="B19" s="14"/>
      <c r="C19" s="14"/>
      <c r="D19" s="15"/>
      <c r="E19" s="15"/>
      <c r="F19" s="15"/>
      <c r="G19" s="15"/>
      <c r="H19" s="15"/>
      <c r="I19" s="15"/>
      <c r="J19" s="15"/>
      <c r="K19" s="15"/>
      <c r="L19" s="7" t="str">
        <f aca="false">IF(H19="","",IF(H19&gt;=Baremo!$E$13,5,IF(H19&gt;=Baremo!$D$13,4,IF(H19&gt;=Baremo!$C$13,3,IF(H19&gt;=Baremo!$B$13,2,1)))))</f>
        <v/>
      </c>
      <c r="M19" s="7" t="str">
        <f aca="false">IF(I19="","",IF(I19&gt;=Baremo!$E$14,5,IF(I19&gt;=Baremo!$D$14,4,IF(I19&gt;=Baremo!$C$14,3,IF(I19&gt;=Baremo!$B$14,2,1)))))</f>
        <v/>
      </c>
      <c r="N19" s="7" t="str">
        <f aca="false">IF(J19="","",IF(J19&gt;=Baremo!$E$15,5,IF(J19&gt;=Baremo!$D$15,4,IF(J19&gt;=Baremo!$C$15,3,IF(J19&gt;=Baremo!$B$15,2,1)))))</f>
        <v/>
      </c>
      <c r="O19" s="7" t="str">
        <f aca="false">IF(K19="","",IF(K19&gt;=Baremo!$E$16,5,IF(K19&gt;=Baremo!$D$16,4,IF(K19&gt;=Baremo!$C$16,3,IF(K19&gt;=Baremo!$B$16,2,1)))))</f>
        <v/>
      </c>
      <c r="P19" s="7" t="str">
        <f aca="false">IFERROR(INDEX(Baremo!$B$18:$E$18,MATCH(MAX(L19:O19),L19:O19,0)),"")</f>
        <v/>
      </c>
      <c r="Q19" s="15"/>
      <c r="R19" s="7" t="str">
        <f aca="false">IF(Q19="","",IF(Q19&lt;=6,"Elemental",IF(Q19&lt;=10,"Funcional",IF(Q19&lt;=14,"Sólido","Avanzado"))))</f>
        <v/>
      </c>
      <c r="S19" s="15"/>
    </row>
    <row r="20" customFormat="false" ht="15" hidden="false" customHeight="false" outlineLevel="0" collapsed="false">
      <c r="A20" s="7" t="n">
        <v>16</v>
      </c>
      <c r="B20" s="14"/>
      <c r="C20" s="14"/>
      <c r="D20" s="15"/>
      <c r="E20" s="15"/>
      <c r="F20" s="15"/>
      <c r="G20" s="15"/>
      <c r="H20" s="15"/>
      <c r="I20" s="15"/>
      <c r="J20" s="15"/>
      <c r="K20" s="15"/>
      <c r="L20" s="7" t="str">
        <f aca="false">IF(H20="","",IF(H20&gt;=Baremo!$E$13,5,IF(H20&gt;=Baremo!$D$13,4,IF(H20&gt;=Baremo!$C$13,3,IF(H20&gt;=Baremo!$B$13,2,1)))))</f>
        <v/>
      </c>
      <c r="M20" s="7" t="str">
        <f aca="false">IF(I20="","",IF(I20&gt;=Baremo!$E$14,5,IF(I20&gt;=Baremo!$D$14,4,IF(I20&gt;=Baremo!$C$14,3,IF(I20&gt;=Baremo!$B$14,2,1)))))</f>
        <v/>
      </c>
      <c r="N20" s="7" t="str">
        <f aca="false">IF(J20="","",IF(J20&gt;=Baremo!$E$15,5,IF(J20&gt;=Baremo!$D$15,4,IF(J20&gt;=Baremo!$C$15,3,IF(J20&gt;=Baremo!$B$15,2,1)))))</f>
        <v/>
      </c>
      <c r="O20" s="7" t="str">
        <f aca="false">IF(K20="","",IF(K20&gt;=Baremo!$E$16,5,IF(K20&gt;=Baremo!$D$16,4,IF(K20&gt;=Baremo!$C$16,3,IF(K20&gt;=Baremo!$B$16,2,1)))))</f>
        <v/>
      </c>
      <c r="P20" s="7" t="str">
        <f aca="false">IFERROR(INDEX(Baremo!$B$18:$E$18,MATCH(MAX(L20:O20),L20:O20,0)),"")</f>
        <v/>
      </c>
      <c r="Q20" s="15"/>
      <c r="R20" s="7" t="str">
        <f aca="false">IF(Q20="","",IF(Q20&lt;=6,"Elemental",IF(Q20&lt;=10,"Funcional",IF(Q20&lt;=14,"Sólido","Avanzado"))))</f>
        <v/>
      </c>
      <c r="S20" s="15"/>
    </row>
    <row r="21" customFormat="false" ht="15" hidden="false" customHeight="false" outlineLevel="0" collapsed="false">
      <c r="A21" s="7" t="n">
        <v>17</v>
      </c>
      <c r="B21" s="14"/>
      <c r="C21" s="14"/>
      <c r="D21" s="15"/>
      <c r="E21" s="15"/>
      <c r="F21" s="15"/>
      <c r="G21" s="15"/>
      <c r="H21" s="15"/>
      <c r="I21" s="15"/>
      <c r="J21" s="15"/>
      <c r="K21" s="15"/>
      <c r="L21" s="7" t="str">
        <f aca="false">IF(H21="","",IF(H21&gt;=Baremo!$E$13,5,IF(H21&gt;=Baremo!$D$13,4,IF(H21&gt;=Baremo!$C$13,3,IF(H21&gt;=Baremo!$B$13,2,1)))))</f>
        <v/>
      </c>
      <c r="M21" s="7" t="str">
        <f aca="false">IF(I21="","",IF(I21&gt;=Baremo!$E$14,5,IF(I21&gt;=Baremo!$D$14,4,IF(I21&gt;=Baremo!$C$14,3,IF(I21&gt;=Baremo!$B$14,2,1)))))</f>
        <v/>
      </c>
      <c r="N21" s="7" t="str">
        <f aca="false">IF(J21="","",IF(J21&gt;=Baremo!$E$15,5,IF(J21&gt;=Baremo!$D$15,4,IF(J21&gt;=Baremo!$C$15,3,IF(J21&gt;=Baremo!$B$15,2,1)))))</f>
        <v/>
      </c>
      <c r="O21" s="7" t="str">
        <f aca="false">IF(K21="","",IF(K21&gt;=Baremo!$E$16,5,IF(K21&gt;=Baremo!$D$16,4,IF(K21&gt;=Baremo!$C$16,3,IF(K21&gt;=Baremo!$B$16,2,1)))))</f>
        <v/>
      </c>
      <c r="P21" s="7" t="str">
        <f aca="false">IFERROR(INDEX(Baremo!$B$18:$E$18,MATCH(MAX(L21:O21),L21:O21,0)),"")</f>
        <v/>
      </c>
      <c r="Q21" s="15"/>
      <c r="R21" s="7" t="str">
        <f aca="false">IF(Q21="","",IF(Q21&lt;=6,"Elemental",IF(Q21&lt;=10,"Funcional",IF(Q21&lt;=14,"Sólido","Avanzado"))))</f>
        <v/>
      </c>
      <c r="S21" s="15"/>
    </row>
    <row r="22" customFormat="false" ht="15" hidden="false" customHeight="false" outlineLevel="0" collapsed="false">
      <c r="A22" s="7" t="n">
        <v>18</v>
      </c>
      <c r="B22" s="14"/>
      <c r="C22" s="14"/>
      <c r="D22" s="15"/>
      <c r="E22" s="15"/>
      <c r="F22" s="15"/>
      <c r="G22" s="15"/>
      <c r="H22" s="15"/>
      <c r="I22" s="15"/>
      <c r="J22" s="15"/>
      <c r="K22" s="15"/>
      <c r="L22" s="7" t="str">
        <f aca="false">IF(H22="","",IF(H22&gt;=Baremo!$E$13,5,IF(H22&gt;=Baremo!$D$13,4,IF(H22&gt;=Baremo!$C$13,3,IF(H22&gt;=Baremo!$B$13,2,1)))))</f>
        <v/>
      </c>
      <c r="M22" s="7" t="str">
        <f aca="false">IF(I22="","",IF(I22&gt;=Baremo!$E$14,5,IF(I22&gt;=Baremo!$D$14,4,IF(I22&gt;=Baremo!$C$14,3,IF(I22&gt;=Baremo!$B$14,2,1)))))</f>
        <v/>
      </c>
      <c r="N22" s="7" t="str">
        <f aca="false">IF(J22="","",IF(J22&gt;=Baremo!$E$15,5,IF(J22&gt;=Baremo!$D$15,4,IF(J22&gt;=Baremo!$C$15,3,IF(J22&gt;=Baremo!$B$15,2,1)))))</f>
        <v/>
      </c>
      <c r="O22" s="7" t="str">
        <f aca="false">IF(K22="","",IF(K22&gt;=Baremo!$E$16,5,IF(K22&gt;=Baremo!$D$16,4,IF(K22&gt;=Baremo!$C$16,3,IF(K22&gt;=Baremo!$B$16,2,1)))))</f>
        <v/>
      </c>
      <c r="P22" s="7" t="str">
        <f aca="false">IFERROR(INDEX(Baremo!$B$18:$E$18,MATCH(MAX(L22:O22),L22:O22,0)),"")</f>
        <v/>
      </c>
      <c r="Q22" s="15"/>
      <c r="R22" s="7" t="str">
        <f aca="false">IF(Q22="","",IF(Q22&lt;=6,"Elemental",IF(Q22&lt;=10,"Funcional",IF(Q22&lt;=14,"Sólido","Avanzado"))))</f>
        <v/>
      </c>
      <c r="S22" s="15"/>
    </row>
    <row r="23" customFormat="false" ht="15" hidden="false" customHeight="false" outlineLevel="0" collapsed="false">
      <c r="A23" s="7" t="n">
        <v>19</v>
      </c>
      <c r="B23" s="14"/>
      <c r="C23" s="14"/>
      <c r="D23" s="15"/>
      <c r="E23" s="15"/>
      <c r="F23" s="15"/>
      <c r="G23" s="15"/>
      <c r="H23" s="15"/>
      <c r="I23" s="15"/>
      <c r="J23" s="15"/>
      <c r="K23" s="15"/>
      <c r="L23" s="7" t="str">
        <f aca="false">IF(H23="","",IF(H23&gt;=Baremo!$E$13,5,IF(H23&gt;=Baremo!$D$13,4,IF(H23&gt;=Baremo!$C$13,3,IF(H23&gt;=Baremo!$B$13,2,1)))))</f>
        <v/>
      </c>
      <c r="M23" s="7" t="str">
        <f aca="false">IF(I23="","",IF(I23&gt;=Baremo!$E$14,5,IF(I23&gt;=Baremo!$D$14,4,IF(I23&gt;=Baremo!$C$14,3,IF(I23&gt;=Baremo!$B$14,2,1)))))</f>
        <v/>
      </c>
      <c r="N23" s="7" t="str">
        <f aca="false">IF(J23="","",IF(J23&gt;=Baremo!$E$15,5,IF(J23&gt;=Baremo!$D$15,4,IF(J23&gt;=Baremo!$C$15,3,IF(J23&gt;=Baremo!$B$15,2,1)))))</f>
        <v/>
      </c>
      <c r="O23" s="7" t="str">
        <f aca="false">IF(K23="","",IF(K23&gt;=Baremo!$E$16,5,IF(K23&gt;=Baremo!$D$16,4,IF(K23&gt;=Baremo!$C$16,3,IF(K23&gt;=Baremo!$B$16,2,1)))))</f>
        <v/>
      </c>
      <c r="P23" s="7" t="str">
        <f aca="false">IFERROR(INDEX(Baremo!$B$18:$E$18,MATCH(MAX(L23:O23),L23:O23,0)),"")</f>
        <v/>
      </c>
      <c r="Q23" s="15"/>
      <c r="R23" s="7" t="str">
        <f aca="false">IF(Q23="","",IF(Q23&lt;=6,"Elemental",IF(Q23&lt;=10,"Funcional",IF(Q23&lt;=14,"Sólido","Avanzado"))))</f>
        <v/>
      </c>
      <c r="S23" s="15"/>
    </row>
    <row r="24" customFormat="false" ht="15" hidden="false" customHeight="false" outlineLevel="0" collapsed="false">
      <c r="A24" s="7" t="n">
        <v>20</v>
      </c>
      <c r="B24" s="14"/>
      <c r="C24" s="14"/>
      <c r="D24" s="15"/>
      <c r="E24" s="15"/>
      <c r="F24" s="15"/>
      <c r="G24" s="15"/>
      <c r="H24" s="15"/>
      <c r="I24" s="15"/>
      <c r="J24" s="15"/>
      <c r="K24" s="15"/>
      <c r="L24" s="7" t="str">
        <f aca="false">IF(H24="","",IF(H24&gt;=Baremo!$E$13,5,IF(H24&gt;=Baremo!$D$13,4,IF(H24&gt;=Baremo!$C$13,3,IF(H24&gt;=Baremo!$B$13,2,1)))))</f>
        <v/>
      </c>
      <c r="M24" s="7" t="str">
        <f aca="false">IF(I24="","",IF(I24&gt;=Baremo!$E$14,5,IF(I24&gt;=Baremo!$D$14,4,IF(I24&gt;=Baremo!$C$14,3,IF(I24&gt;=Baremo!$B$14,2,1)))))</f>
        <v/>
      </c>
      <c r="N24" s="7" t="str">
        <f aca="false">IF(J24="","",IF(J24&gt;=Baremo!$E$15,5,IF(J24&gt;=Baremo!$D$15,4,IF(J24&gt;=Baremo!$C$15,3,IF(J24&gt;=Baremo!$B$15,2,1)))))</f>
        <v/>
      </c>
      <c r="O24" s="7" t="str">
        <f aca="false">IF(K24="","",IF(K24&gt;=Baremo!$E$16,5,IF(K24&gt;=Baremo!$D$16,4,IF(K24&gt;=Baremo!$C$16,3,IF(K24&gt;=Baremo!$B$16,2,1)))))</f>
        <v/>
      </c>
      <c r="P24" s="7" t="str">
        <f aca="false">IFERROR(INDEX(Baremo!$B$18:$E$18,MATCH(MAX(L24:O24),L24:O24,0)),"")</f>
        <v/>
      </c>
      <c r="Q24" s="15"/>
      <c r="R24" s="7" t="str">
        <f aca="false">IF(Q24="","",IF(Q24&lt;=6,"Elemental",IF(Q24&lt;=10,"Funcional",IF(Q24&lt;=14,"Sólido","Avanzado"))))</f>
        <v/>
      </c>
      <c r="S24" s="15"/>
    </row>
    <row r="25" customFormat="false" ht="15" hidden="false" customHeight="false" outlineLevel="0" collapsed="false">
      <c r="A25" s="7" t="n">
        <v>21</v>
      </c>
      <c r="B25" s="14"/>
      <c r="C25" s="14"/>
      <c r="D25" s="15"/>
      <c r="E25" s="15"/>
      <c r="F25" s="15"/>
      <c r="G25" s="15"/>
      <c r="H25" s="15"/>
      <c r="I25" s="15"/>
      <c r="J25" s="15"/>
      <c r="K25" s="15"/>
      <c r="L25" s="7" t="str">
        <f aca="false">IF(H25="","",IF(H25&gt;=Baremo!$E$13,5,IF(H25&gt;=Baremo!$D$13,4,IF(H25&gt;=Baremo!$C$13,3,IF(H25&gt;=Baremo!$B$13,2,1)))))</f>
        <v/>
      </c>
      <c r="M25" s="7" t="str">
        <f aca="false">IF(I25="","",IF(I25&gt;=Baremo!$E$14,5,IF(I25&gt;=Baremo!$D$14,4,IF(I25&gt;=Baremo!$C$14,3,IF(I25&gt;=Baremo!$B$14,2,1)))))</f>
        <v/>
      </c>
      <c r="N25" s="7" t="str">
        <f aca="false">IF(J25="","",IF(J25&gt;=Baremo!$E$15,5,IF(J25&gt;=Baremo!$D$15,4,IF(J25&gt;=Baremo!$C$15,3,IF(J25&gt;=Baremo!$B$15,2,1)))))</f>
        <v/>
      </c>
      <c r="O25" s="7" t="str">
        <f aca="false">IF(K25="","",IF(K25&gt;=Baremo!$E$16,5,IF(K25&gt;=Baremo!$D$16,4,IF(K25&gt;=Baremo!$C$16,3,IF(K25&gt;=Baremo!$B$16,2,1)))))</f>
        <v/>
      </c>
      <c r="P25" s="7" t="str">
        <f aca="false">IFERROR(INDEX(Baremo!$B$18:$E$18,MATCH(MAX(L25:O25),L25:O25,0)),"")</f>
        <v/>
      </c>
      <c r="Q25" s="15"/>
      <c r="R25" s="7" t="str">
        <f aca="false">IF(Q25="","",IF(Q25&lt;=6,"Elemental",IF(Q25&lt;=10,"Funcional",IF(Q25&lt;=14,"Sólido","Avanzado"))))</f>
        <v/>
      </c>
      <c r="S25" s="15"/>
    </row>
    <row r="26" customFormat="false" ht="15" hidden="false" customHeight="false" outlineLevel="0" collapsed="false">
      <c r="A26" s="7" t="n">
        <v>22</v>
      </c>
      <c r="B26" s="14"/>
      <c r="C26" s="14"/>
      <c r="D26" s="15"/>
      <c r="E26" s="15"/>
      <c r="F26" s="15"/>
      <c r="G26" s="15"/>
      <c r="H26" s="15"/>
      <c r="I26" s="15"/>
      <c r="J26" s="15"/>
      <c r="K26" s="15"/>
      <c r="L26" s="7" t="str">
        <f aca="false">IF(H26="","",IF(H26&gt;=Baremo!$E$13,5,IF(H26&gt;=Baremo!$D$13,4,IF(H26&gt;=Baremo!$C$13,3,IF(H26&gt;=Baremo!$B$13,2,1)))))</f>
        <v/>
      </c>
      <c r="M26" s="7" t="str">
        <f aca="false">IF(I26="","",IF(I26&gt;=Baremo!$E$14,5,IF(I26&gt;=Baremo!$D$14,4,IF(I26&gt;=Baremo!$C$14,3,IF(I26&gt;=Baremo!$B$14,2,1)))))</f>
        <v/>
      </c>
      <c r="N26" s="7" t="str">
        <f aca="false">IF(J26="","",IF(J26&gt;=Baremo!$E$15,5,IF(J26&gt;=Baremo!$D$15,4,IF(J26&gt;=Baremo!$C$15,3,IF(J26&gt;=Baremo!$B$15,2,1)))))</f>
        <v/>
      </c>
      <c r="O26" s="7" t="str">
        <f aca="false">IF(K26="","",IF(K26&gt;=Baremo!$E$16,5,IF(K26&gt;=Baremo!$D$16,4,IF(K26&gt;=Baremo!$C$16,3,IF(K26&gt;=Baremo!$B$16,2,1)))))</f>
        <v/>
      </c>
      <c r="P26" s="7" t="str">
        <f aca="false">IFERROR(INDEX(Baremo!$B$18:$E$18,MATCH(MAX(L26:O26),L26:O26,0)),"")</f>
        <v/>
      </c>
      <c r="Q26" s="15"/>
      <c r="R26" s="7" t="str">
        <f aca="false">IF(Q26="","",IF(Q26&lt;=6,"Elemental",IF(Q26&lt;=10,"Funcional",IF(Q26&lt;=14,"Sólido","Avanzado"))))</f>
        <v/>
      </c>
      <c r="S26" s="15"/>
    </row>
    <row r="27" customFormat="false" ht="15" hidden="false" customHeight="false" outlineLevel="0" collapsed="false">
      <c r="A27" s="7" t="n">
        <v>23</v>
      </c>
      <c r="B27" s="14"/>
      <c r="C27" s="14"/>
      <c r="D27" s="15"/>
      <c r="E27" s="15"/>
      <c r="F27" s="15"/>
      <c r="G27" s="15"/>
      <c r="H27" s="15"/>
      <c r="I27" s="15"/>
      <c r="J27" s="15"/>
      <c r="K27" s="15"/>
      <c r="L27" s="7" t="str">
        <f aca="false">IF(H27="","",IF(H27&gt;=Baremo!$E$13,5,IF(H27&gt;=Baremo!$D$13,4,IF(H27&gt;=Baremo!$C$13,3,IF(H27&gt;=Baremo!$B$13,2,1)))))</f>
        <v/>
      </c>
      <c r="M27" s="7" t="str">
        <f aca="false">IF(I27="","",IF(I27&gt;=Baremo!$E$14,5,IF(I27&gt;=Baremo!$D$14,4,IF(I27&gt;=Baremo!$C$14,3,IF(I27&gt;=Baremo!$B$14,2,1)))))</f>
        <v/>
      </c>
      <c r="N27" s="7" t="str">
        <f aca="false">IF(J27="","",IF(J27&gt;=Baremo!$E$15,5,IF(J27&gt;=Baremo!$D$15,4,IF(J27&gt;=Baremo!$C$15,3,IF(J27&gt;=Baremo!$B$15,2,1)))))</f>
        <v/>
      </c>
      <c r="O27" s="7" t="str">
        <f aca="false">IF(K27="","",IF(K27&gt;=Baremo!$E$16,5,IF(K27&gt;=Baremo!$D$16,4,IF(K27&gt;=Baremo!$C$16,3,IF(K27&gt;=Baremo!$B$16,2,1)))))</f>
        <v/>
      </c>
      <c r="P27" s="7" t="str">
        <f aca="false">IFERROR(INDEX(Baremo!$B$18:$E$18,MATCH(MAX(L27:O27),L27:O27,0)),"")</f>
        <v/>
      </c>
      <c r="Q27" s="15"/>
      <c r="R27" s="7" t="str">
        <f aca="false">IF(Q27="","",IF(Q27&lt;=6,"Elemental",IF(Q27&lt;=10,"Funcional",IF(Q27&lt;=14,"Sólido","Avanzado"))))</f>
        <v/>
      </c>
      <c r="S27" s="15"/>
    </row>
    <row r="28" customFormat="false" ht="15" hidden="false" customHeight="false" outlineLevel="0" collapsed="false">
      <c r="A28" s="7" t="n">
        <v>24</v>
      </c>
      <c r="B28" s="14"/>
      <c r="C28" s="14"/>
      <c r="D28" s="15"/>
      <c r="E28" s="15"/>
      <c r="F28" s="15"/>
      <c r="G28" s="15"/>
      <c r="H28" s="15"/>
      <c r="I28" s="15"/>
      <c r="J28" s="15"/>
      <c r="K28" s="15"/>
      <c r="L28" s="7" t="str">
        <f aca="false">IF(H28="","",IF(H28&gt;=Baremo!$E$13,5,IF(H28&gt;=Baremo!$D$13,4,IF(H28&gt;=Baremo!$C$13,3,IF(H28&gt;=Baremo!$B$13,2,1)))))</f>
        <v/>
      </c>
      <c r="M28" s="7" t="str">
        <f aca="false">IF(I28="","",IF(I28&gt;=Baremo!$E$14,5,IF(I28&gt;=Baremo!$D$14,4,IF(I28&gt;=Baremo!$C$14,3,IF(I28&gt;=Baremo!$B$14,2,1)))))</f>
        <v/>
      </c>
      <c r="N28" s="7" t="str">
        <f aca="false">IF(J28="","",IF(J28&gt;=Baremo!$E$15,5,IF(J28&gt;=Baremo!$D$15,4,IF(J28&gt;=Baremo!$C$15,3,IF(J28&gt;=Baremo!$B$15,2,1)))))</f>
        <v/>
      </c>
      <c r="O28" s="7" t="str">
        <f aca="false">IF(K28="","",IF(K28&gt;=Baremo!$E$16,5,IF(K28&gt;=Baremo!$D$16,4,IF(K28&gt;=Baremo!$C$16,3,IF(K28&gt;=Baremo!$B$16,2,1)))))</f>
        <v/>
      </c>
      <c r="P28" s="7" t="str">
        <f aca="false">IFERROR(INDEX(Baremo!$B$18:$E$18,MATCH(MAX(L28:O28),L28:O28,0)),"")</f>
        <v/>
      </c>
      <c r="Q28" s="15"/>
      <c r="R28" s="7" t="str">
        <f aca="false">IF(Q28="","",IF(Q28&lt;=6,"Elemental",IF(Q28&lt;=10,"Funcional",IF(Q28&lt;=14,"Sólido","Avanzado"))))</f>
        <v/>
      </c>
      <c r="S28" s="15"/>
    </row>
    <row r="29" customFormat="false" ht="15" hidden="false" customHeight="false" outlineLevel="0" collapsed="false">
      <c r="A29" s="7" t="n">
        <v>25</v>
      </c>
      <c r="B29" s="14"/>
      <c r="C29" s="14"/>
      <c r="D29" s="15"/>
      <c r="E29" s="15"/>
      <c r="F29" s="15"/>
      <c r="G29" s="15"/>
      <c r="H29" s="15"/>
      <c r="I29" s="15"/>
      <c r="J29" s="15"/>
      <c r="K29" s="15"/>
      <c r="L29" s="7" t="str">
        <f aca="false">IF(H29="","",IF(H29&gt;=Baremo!$E$13,5,IF(H29&gt;=Baremo!$D$13,4,IF(H29&gt;=Baremo!$C$13,3,IF(H29&gt;=Baremo!$B$13,2,1)))))</f>
        <v/>
      </c>
      <c r="M29" s="7" t="str">
        <f aca="false">IF(I29="","",IF(I29&gt;=Baremo!$E$14,5,IF(I29&gt;=Baremo!$D$14,4,IF(I29&gt;=Baremo!$C$14,3,IF(I29&gt;=Baremo!$B$14,2,1)))))</f>
        <v/>
      </c>
      <c r="N29" s="7" t="str">
        <f aca="false">IF(J29="","",IF(J29&gt;=Baremo!$E$15,5,IF(J29&gt;=Baremo!$D$15,4,IF(J29&gt;=Baremo!$C$15,3,IF(J29&gt;=Baremo!$B$15,2,1)))))</f>
        <v/>
      </c>
      <c r="O29" s="7" t="str">
        <f aca="false">IF(K29="","",IF(K29&gt;=Baremo!$E$16,5,IF(K29&gt;=Baremo!$D$16,4,IF(K29&gt;=Baremo!$C$16,3,IF(K29&gt;=Baremo!$B$16,2,1)))))</f>
        <v/>
      </c>
      <c r="P29" s="7" t="str">
        <f aca="false">IFERROR(INDEX(Baremo!$B$18:$E$18,MATCH(MAX(L29:O29),L29:O29,0)),"")</f>
        <v/>
      </c>
      <c r="Q29" s="15"/>
      <c r="R29" s="7" t="str">
        <f aca="false">IF(Q29="","",IF(Q29&lt;=6,"Elemental",IF(Q29&lt;=10,"Funcional",IF(Q29&lt;=14,"Sólido","Avanzado"))))</f>
        <v/>
      </c>
      <c r="S29" s="15"/>
    </row>
  </sheetData>
  <mergeCells count="1">
    <mergeCell ref="A1:R1"/>
  </mergeCells>
  <dataValidations count="3">
    <dataValidation allowBlank="true" errorStyle="stop" operator="between" showDropDown="false" showErrorMessage="false" showInputMessage="false" sqref="E5:G29" type="list">
      <formula1>"Explorador,Cronista,Arquitecto,Integrador,Verificador"</formula1>
      <formula2>0</formula2>
    </dataValidation>
    <dataValidation allowBlank="true" errorStyle="stop" operator="between" showDropDown="false" showErrorMessage="false" showInputMessage="false" sqref="D5:D29" type="list">
      <formula1>"E1,E2,E3,E4,E5"</formula1>
      <formula2>0</formula2>
    </dataValidation>
    <dataValidation allowBlank="true" errorStyle="stop" operator="between" showDropDown="false" showErrorMessage="false" showInputMessage="false" sqref="S5:S29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22" min="3" style="0" width="6"/>
    <col collapsed="false" customWidth="true" hidden="false" outlineLevel="0" max="24" min="23" style="0" width="8"/>
    <col collapsed="false" customWidth="true" hidden="false" outlineLevel="0" max="25" min="25" style="0" width="10"/>
    <col collapsed="false" customWidth="true" hidden="false" outlineLevel="0" max="26" min="26" style="0" width="20"/>
  </cols>
  <sheetData>
    <row r="1" customFormat="false" ht="21.7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false" outlineLevel="0" collapsed="false">
      <c r="A2" s="9" t="s">
        <v>98</v>
      </c>
      <c r="C2" s="16" t="s">
        <v>99</v>
      </c>
      <c r="D2" s="16" t="s">
        <v>100</v>
      </c>
      <c r="E2" s="16" t="s">
        <v>101</v>
      </c>
      <c r="F2" s="16" t="s">
        <v>102</v>
      </c>
      <c r="G2" s="16" t="s">
        <v>103</v>
      </c>
      <c r="H2" s="16" t="s">
        <v>104</v>
      </c>
      <c r="I2" s="16" t="s">
        <v>105</v>
      </c>
      <c r="J2" s="16" t="s">
        <v>106</v>
      </c>
      <c r="K2" s="16" t="s">
        <v>107</v>
      </c>
      <c r="L2" s="16" t="s">
        <v>108</v>
      </c>
      <c r="M2" s="16" t="s">
        <v>109</v>
      </c>
      <c r="N2" s="16" t="s">
        <v>110</v>
      </c>
      <c r="O2" s="16" t="s">
        <v>111</v>
      </c>
      <c r="P2" s="16" t="s">
        <v>112</v>
      </c>
      <c r="Q2" s="16" t="s">
        <v>113</v>
      </c>
      <c r="R2" s="16" t="s">
        <v>114</v>
      </c>
      <c r="S2" s="16" t="s">
        <v>115</v>
      </c>
      <c r="T2" s="16" t="s">
        <v>116</v>
      </c>
      <c r="U2" s="16" t="s">
        <v>117</v>
      </c>
      <c r="V2" s="16" t="s">
        <v>118</v>
      </c>
    </row>
    <row r="3" customFormat="false" ht="30" hidden="false" customHeight="true" outlineLevel="0" collapsed="false">
      <c r="A3" s="5" t="s">
        <v>71</v>
      </c>
      <c r="B3" s="5" t="s">
        <v>119</v>
      </c>
      <c r="C3" s="5" t="s">
        <v>120</v>
      </c>
      <c r="D3" s="5" t="s">
        <v>121</v>
      </c>
      <c r="E3" s="5" t="s">
        <v>122</v>
      </c>
      <c r="F3" s="5" t="s">
        <v>123</v>
      </c>
      <c r="G3" s="5" t="s">
        <v>124</v>
      </c>
      <c r="H3" s="5" t="s">
        <v>125</v>
      </c>
      <c r="I3" s="5" t="s">
        <v>126</v>
      </c>
      <c r="J3" s="5" t="s">
        <v>127</v>
      </c>
      <c r="K3" s="5" t="s">
        <v>128</v>
      </c>
      <c r="L3" s="5" t="s">
        <v>129</v>
      </c>
      <c r="M3" s="5" t="s">
        <v>130</v>
      </c>
      <c r="N3" s="5" t="s">
        <v>131</v>
      </c>
      <c r="O3" s="5" t="s">
        <v>132</v>
      </c>
      <c r="P3" s="5" t="s">
        <v>133</v>
      </c>
      <c r="Q3" s="5" t="s">
        <v>134</v>
      </c>
      <c r="R3" s="5" t="s">
        <v>135</v>
      </c>
      <c r="S3" s="5" t="s">
        <v>136</v>
      </c>
      <c r="T3" s="5" t="s">
        <v>137</v>
      </c>
      <c r="U3" s="5" t="s">
        <v>138</v>
      </c>
      <c r="V3" s="5" t="s">
        <v>139</v>
      </c>
      <c r="W3" s="5" t="s">
        <v>140</v>
      </c>
      <c r="X3" s="5" t="s">
        <v>141</v>
      </c>
      <c r="Y3" s="5" t="s">
        <v>142</v>
      </c>
      <c r="Z3" s="5" t="s">
        <v>143</v>
      </c>
    </row>
    <row r="4" customFormat="false" ht="15" hidden="false" customHeight="false" outlineLevel="0" collapsed="false">
      <c r="A4" s="17" t="n">
        <f aca="false">IF(Alumnos!A4="","",Alumnos!A4)</f>
        <v>1</v>
      </c>
      <c r="B4" s="17" t="str">
        <f aca="false">IF(Alumnos!B4="","",Alumnos!B4)</f>
        <v>EJEMPLO — borrar esta fila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7" t="n">
        <f aca="false">COUNTIF(C4:V4,"F")</f>
        <v>0</v>
      </c>
      <c r="X4" s="7" t="n">
        <f aca="false">COUNTIF(C4:V4,"J")</f>
        <v>0</v>
      </c>
      <c r="Y4" s="18" t="str">
        <f aca="false">IFERROR(COUNTIF(C4:V4,"A")/COUNTA(C4:V4),"")</f>
        <v/>
      </c>
      <c r="Z4" s="6" t="str">
        <f aca="false">IF(Y4="","",IF(Y4&gt;=0.8,"Sí","NO"))</f>
        <v/>
      </c>
    </row>
    <row r="5" customFormat="false" ht="15" hidden="false" customHeight="false" outlineLevel="0" collapsed="false">
      <c r="A5" s="17" t="n">
        <f aca="false">IF(Alumnos!A5="","",Alumnos!A5)</f>
        <v>1</v>
      </c>
      <c r="B5" s="17" t="str">
        <f aca="false">IF(Alumnos!B5="","",Alumnos!B5)</f>
        <v/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7" t="n">
        <f aca="false">COUNTIF(C5:V5,"F")</f>
        <v>0</v>
      </c>
      <c r="X5" s="7" t="n">
        <f aca="false">COUNTIF(C5:V5,"J")</f>
        <v>0</v>
      </c>
      <c r="Y5" s="18" t="str">
        <f aca="false">IFERROR(COUNTIF(C5:V5,"A")/COUNTA(C5:V5),"")</f>
        <v/>
      </c>
      <c r="Z5" s="6" t="str">
        <f aca="false">IF(Y5="","",IF(Y5&gt;=0.8,"Sí","NO"))</f>
        <v/>
      </c>
    </row>
    <row r="6" customFormat="false" ht="15" hidden="false" customHeight="false" outlineLevel="0" collapsed="false">
      <c r="A6" s="17" t="n">
        <f aca="false">IF(Alumnos!A6="","",Alumnos!A6)</f>
        <v>2</v>
      </c>
      <c r="B6" s="17" t="str">
        <f aca="false">IF(Alumnos!B6="","",Alumnos!B6)</f>
        <v/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7" t="n">
        <f aca="false">COUNTIF(C6:V6,"F")</f>
        <v>0</v>
      </c>
      <c r="X6" s="7" t="n">
        <f aca="false">COUNTIF(C6:V6,"J")</f>
        <v>0</v>
      </c>
      <c r="Y6" s="18" t="str">
        <f aca="false">IFERROR(COUNTIF(C6:V6,"A")/COUNTA(C6:V6),"")</f>
        <v/>
      </c>
      <c r="Z6" s="6" t="str">
        <f aca="false">IF(Y6="","",IF(Y6&gt;=0.8,"Sí","NO"))</f>
        <v/>
      </c>
    </row>
    <row r="7" customFormat="false" ht="15" hidden="false" customHeight="false" outlineLevel="0" collapsed="false">
      <c r="A7" s="17" t="n">
        <f aca="false">IF(Alumnos!A7="","",Alumnos!A7)</f>
        <v>3</v>
      </c>
      <c r="B7" s="17" t="str">
        <f aca="false">IF(Alumnos!B7="","",Alumnos!B7)</f>
        <v/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7" t="n">
        <f aca="false">COUNTIF(C7:V7,"F")</f>
        <v>0</v>
      </c>
      <c r="X7" s="7" t="n">
        <f aca="false">COUNTIF(C7:V7,"J")</f>
        <v>0</v>
      </c>
      <c r="Y7" s="18" t="str">
        <f aca="false">IFERROR(COUNTIF(C7:V7,"A")/COUNTA(C7:V7),"")</f>
        <v/>
      </c>
      <c r="Z7" s="6" t="str">
        <f aca="false">IF(Y7="","",IF(Y7&gt;=0.8,"Sí","NO"))</f>
        <v/>
      </c>
    </row>
    <row r="8" customFormat="false" ht="15" hidden="false" customHeight="false" outlineLevel="0" collapsed="false">
      <c r="A8" s="17" t="n">
        <f aca="false">IF(Alumnos!A8="","",Alumnos!A8)</f>
        <v>4</v>
      </c>
      <c r="B8" s="17" t="str">
        <f aca="false">IF(Alumnos!B8="","",Alumnos!B8)</f>
        <v/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7" t="n">
        <f aca="false">COUNTIF(C8:V8,"F")</f>
        <v>0</v>
      </c>
      <c r="X8" s="7" t="n">
        <f aca="false">COUNTIF(C8:V8,"J")</f>
        <v>0</v>
      </c>
      <c r="Y8" s="18" t="str">
        <f aca="false">IFERROR(COUNTIF(C8:V8,"A")/COUNTA(C8:V8),"")</f>
        <v/>
      </c>
      <c r="Z8" s="6" t="str">
        <f aca="false">IF(Y8="","",IF(Y8&gt;=0.8,"Sí","NO"))</f>
        <v/>
      </c>
    </row>
    <row r="9" customFormat="false" ht="15" hidden="false" customHeight="false" outlineLevel="0" collapsed="false">
      <c r="A9" s="17" t="n">
        <f aca="false">IF(Alumnos!A9="","",Alumnos!A9)</f>
        <v>5</v>
      </c>
      <c r="B9" s="17" t="str">
        <f aca="false">IF(Alumnos!B9="","",Alumnos!B9)</f>
        <v/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7" t="n">
        <f aca="false">COUNTIF(C9:V9,"F")</f>
        <v>0</v>
      </c>
      <c r="X9" s="7" t="n">
        <f aca="false">COUNTIF(C9:V9,"J")</f>
        <v>0</v>
      </c>
      <c r="Y9" s="18" t="str">
        <f aca="false">IFERROR(COUNTIF(C9:V9,"A")/COUNTA(C9:V9),"")</f>
        <v/>
      </c>
      <c r="Z9" s="6" t="str">
        <f aca="false">IF(Y9="","",IF(Y9&gt;=0.8,"Sí","NO"))</f>
        <v/>
      </c>
    </row>
    <row r="10" customFormat="false" ht="15" hidden="false" customHeight="false" outlineLevel="0" collapsed="false">
      <c r="A10" s="17" t="n">
        <f aca="false">IF(Alumnos!A10="","",Alumnos!A10)</f>
        <v>6</v>
      </c>
      <c r="B10" s="17" t="str">
        <f aca="false">IF(Alumnos!B10="","",Alumnos!B10)</f>
        <v/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7" t="n">
        <f aca="false">COUNTIF(C10:V10,"F")</f>
        <v>0</v>
      </c>
      <c r="X10" s="7" t="n">
        <f aca="false">COUNTIF(C10:V10,"J")</f>
        <v>0</v>
      </c>
      <c r="Y10" s="18" t="str">
        <f aca="false">IFERROR(COUNTIF(C10:V10,"A")/COUNTA(C10:V10),"")</f>
        <v/>
      </c>
      <c r="Z10" s="6" t="str">
        <f aca="false">IF(Y10="","",IF(Y10&gt;=0.8,"Sí","NO"))</f>
        <v/>
      </c>
    </row>
    <row r="11" customFormat="false" ht="15" hidden="false" customHeight="false" outlineLevel="0" collapsed="false">
      <c r="A11" s="17" t="n">
        <f aca="false">IF(Alumnos!A11="","",Alumnos!A11)</f>
        <v>7</v>
      </c>
      <c r="B11" s="17" t="str">
        <f aca="false">IF(Alumnos!B11="","",Alumnos!B11)</f>
        <v/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7" t="n">
        <f aca="false">COUNTIF(C11:V11,"F")</f>
        <v>0</v>
      </c>
      <c r="X11" s="7" t="n">
        <f aca="false">COUNTIF(C11:V11,"J")</f>
        <v>0</v>
      </c>
      <c r="Y11" s="18" t="str">
        <f aca="false">IFERROR(COUNTIF(C11:V11,"A")/COUNTA(C11:V11),"")</f>
        <v/>
      </c>
      <c r="Z11" s="6" t="str">
        <f aca="false">IF(Y11="","",IF(Y11&gt;=0.8,"Sí","NO"))</f>
        <v/>
      </c>
    </row>
    <row r="12" customFormat="false" ht="15" hidden="false" customHeight="false" outlineLevel="0" collapsed="false">
      <c r="A12" s="17" t="n">
        <f aca="false">IF(Alumnos!A12="","",Alumnos!A12)</f>
        <v>8</v>
      </c>
      <c r="B12" s="17" t="str">
        <f aca="false">IF(Alumnos!B12="","",Alumnos!B12)</f>
        <v/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7" t="n">
        <f aca="false">COUNTIF(C12:V12,"F")</f>
        <v>0</v>
      </c>
      <c r="X12" s="7" t="n">
        <f aca="false">COUNTIF(C12:V12,"J")</f>
        <v>0</v>
      </c>
      <c r="Y12" s="18" t="str">
        <f aca="false">IFERROR(COUNTIF(C12:V12,"A")/COUNTA(C12:V12),"")</f>
        <v/>
      </c>
      <c r="Z12" s="6" t="str">
        <f aca="false">IF(Y12="","",IF(Y12&gt;=0.8,"Sí","NO"))</f>
        <v/>
      </c>
    </row>
    <row r="13" customFormat="false" ht="15" hidden="false" customHeight="false" outlineLevel="0" collapsed="false">
      <c r="A13" s="17" t="n">
        <f aca="false">IF(Alumnos!A13="","",Alumnos!A13)</f>
        <v>9</v>
      </c>
      <c r="B13" s="17" t="str">
        <f aca="false">IF(Alumnos!B13="","",Alumnos!B13)</f>
        <v/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7" t="n">
        <f aca="false">COUNTIF(C13:V13,"F")</f>
        <v>0</v>
      </c>
      <c r="X13" s="7" t="n">
        <f aca="false">COUNTIF(C13:V13,"J")</f>
        <v>0</v>
      </c>
      <c r="Y13" s="18" t="str">
        <f aca="false">IFERROR(COUNTIF(C13:V13,"A")/COUNTA(C13:V13),"")</f>
        <v/>
      </c>
      <c r="Z13" s="6" t="str">
        <f aca="false">IF(Y13="","",IF(Y13&gt;=0.8,"Sí","NO"))</f>
        <v/>
      </c>
    </row>
    <row r="14" customFormat="false" ht="15" hidden="false" customHeight="false" outlineLevel="0" collapsed="false">
      <c r="A14" s="17" t="n">
        <f aca="false">IF(Alumnos!A14="","",Alumnos!A14)</f>
        <v>10</v>
      </c>
      <c r="B14" s="17" t="str">
        <f aca="false">IF(Alumnos!B14="","",Alumnos!B14)</f>
        <v/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7" t="n">
        <f aca="false">COUNTIF(C14:V14,"F")</f>
        <v>0</v>
      </c>
      <c r="X14" s="7" t="n">
        <f aca="false">COUNTIF(C14:V14,"J")</f>
        <v>0</v>
      </c>
      <c r="Y14" s="18" t="str">
        <f aca="false">IFERROR(COUNTIF(C14:V14,"A")/COUNTA(C14:V14),"")</f>
        <v/>
      </c>
      <c r="Z14" s="6" t="str">
        <f aca="false">IF(Y14="","",IF(Y14&gt;=0.8,"Sí","NO"))</f>
        <v/>
      </c>
    </row>
    <row r="15" customFormat="false" ht="15" hidden="false" customHeight="false" outlineLevel="0" collapsed="false">
      <c r="A15" s="17" t="n">
        <f aca="false">IF(Alumnos!A15="","",Alumnos!A15)</f>
        <v>11</v>
      </c>
      <c r="B15" s="17" t="str">
        <f aca="false">IF(Alumnos!B15="","",Alumnos!B15)</f>
        <v/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7" t="n">
        <f aca="false">COUNTIF(C15:V15,"F")</f>
        <v>0</v>
      </c>
      <c r="X15" s="7" t="n">
        <f aca="false">COUNTIF(C15:V15,"J")</f>
        <v>0</v>
      </c>
      <c r="Y15" s="18" t="str">
        <f aca="false">IFERROR(COUNTIF(C15:V15,"A")/COUNTA(C15:V15),"")</f>
        <v/>
      </c>
      <c r="Z15" s="6" t="str">
        <f aca="false">IF(Y15="","",IF(Y15&gt;=0.8,"Sí","NO"))</f>
        <v/>
      </c>
    </row>
    <row r="16" customFormat="false" ht="15" hidden="false" customHeight="false" outlineLevel="0" collapsed="false">
      <c r="A16" s="17" t="n">
        <f aca="false">IF(Alumnos!A16="","",Alumnos!A16)</f>
        <v>12</v>
      </c>
      <c r="B16" s="17" t="str">
        <f aca="false">IF(Alumnos!B16="","",Alumnos!B16)</f>
        <v/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7" t="n">
        <f aca="false">COUNTIF(C16:V16,"F")</f>
        <v>0</v>
      </c>
      <c r="X16" s="7" t="n">
        <f aca="false">COUNTIF(C16:V16,"J")</f>
        <v>0</v>
      </c>
      <c r="Y16" s="18" t="str">
        <f aca="false">IFERROR(COUNTIF(C16:V16,"A")/COUNTA(C16:V16),"")</f>
        <v/>
      </c>
      <c r="Z16" s="6" t="str">
        <f aca="false">IF(Y16="","",IF(Y16&gt;=0.8,"Sí","NO"))</f>
        <v/>
      </c>
    </row>
    <row r="17" customFormat="false" ht="15" hidden="false" customHeight="false" outlineLevel="0" collapsed="false">
      <c r="A17" s="17" t="n">
        <f aca="false">IF(Alumnos!A17="","",Alumnos!A17)</f>
        <v>13</v>
      </c>
      <c r="B17" s="17" t="str">
        <f aca="false">IF(Alumnos!B17="","",Alumnos!B17)</f>
        <v/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7" t="n">
        <f aca="false">COUNTIF(C17:V17,"F")</f>
        <v>0</v>
      </c>
      <c r="X17" s="7" t="n">
        <f aca="false">COUNTIF(C17:V17,"J")</f>
        <v>0</v>
      </c>
      <c r="Y17" s="18" t="str">
        <f aca="false">IFERROR(COUNTIF(C17:V17,"A")/COUNTA(C17:V17),"")</f>
        <v/>
      </c>
      <c r="Z17" s="6" t="str">
        <f aca="false">IF(Y17="","",IF(Y17&gt;=0.8,"Sí","NO"))</f>
        <v/>
      </c>
    </row>
    <row r="18" customFormat="false" ht="15" hidden="false" customHeight="false" outlineLevel="0" collapsed="false">
      <c r="A18" s="17" t="n">
        <f aca="false">IF(Alumnos!A18="","",Alumnos!A18)</f>
        <v>14</v>
      </c>
      <c r="B18" s="17" t="str">
        <f aca="false">IF(Alumnos!B18="","",Alumnos!B18)</f>
        <v/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7" t="n">
        <f aca="false">COUNTIF(C18:V18,"F")</f>
        <v>0</v>
      </c>
      <c r="X18" s="7" t="n">
        <f aca="false">COUNTIF(C18:V18,"J")</f>
        <v>0</v>
      </c>
      <c r="Y18" s="18" t="str">
        <f aca="false">IFERROR(COUNTIF(C18:V18,"A")/COUNTA(C18:V18),"")</f>
        <v/>
      </c>
      <c r="Z18" s="6" t="str">
        <f aca="false">IF(Y18="","",IF(Y18&gt;=0.8,"Sí","NO"))</f>
        <v/>
      </c>
    </row>
    <row r="19" customFormat="false" ht="15" hidden="false" customHeight="false" outlineLevel="0" collapsed="false">
      <c r="A19" s="17" t="n">
        <f aca="false">IF(Alumnos!A19="","",Alumnos!A19)</f>
        <v>15</v>
      </c>
      <c r="B19" s="17" t="str">
        <f aca="false">IF(Alumnos!B19="","",Alumnos!B19)</f>
        <v/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7" t="n">
        <f aca="false">COUNTIF(C19:V19,"F")</f>
        <v>0</v>
      </c>
      <c r="X19" s="7" t="n">
        <f aca="false">COUNTIF(C19:V19,"J")</f>
        <v>0</v>
      </c>
      <c r="Y19" s="18" t="str">
        <f aca="false">IFERROR(COUNTIF(C19:V19,"A")/COUNTA(C19:V19),"")</f>
        <v/>
      </c>
      <c r="Z19" s="6" t="str">
        <f aca="false">IF(Y19="","",IF(Y19&gt;=0.8,"Sí","NO"))</f>
        <v/>
      </c>
    </row>
    <row r="20" customFormat="false" ht="15" hidden="false" customHeight="false" outlineLevel="0" collapsed="false">
      <c r="A20" s="17" t="n">
        <f aca="false">IF(Alumnos!A20="","",Alumnos!A20)</f>
        <v>16</v>
      </c>
      <c r="B20" s="17" t="str">
        <f aca="false">IF(Alumnos!B20="","",Alumnos!B20)</f>
        <v/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7" t="n">
        <f aca="false">COUNTIF(C20:V20,"F")</f>
        <v>0</v>
      </c>
      <c r="X20" s="7" t="n">
        <f aca="false">COUNTIF(C20:V20,"J")</f>
        <v>0</v>
      </c>
      <c r="Y20" s="18" t="str">
        <f aca="false">IFERROR(COUNTIF(C20:V20,"A")/COUNTA(C20:V20),"")</f>
        <v/>
      </c>
      <c r="Z20" s="6" t="str">
        <f aca="false">IF(Y20="","",IF(Y20&gt;=0.8,"Sí","NO"))</f>
        <v/>
      </c>
    </row>
    <row r="21" customFormat="false" ht="15" hidden="false" customHeight="false" outlineLevel="0" collapsed="false">
      <c r="A21" s="17" t="n">
        <f aca="false">IF(Alumnos!A21="","",Alumnos!A21)</f>
        <v>17</v>
      </c>
      <c r="B21" s="17" t="str">
        <f aca="false">IF(Alumnos!B21="","",Alumnos!B21)</f>
        <v/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7" t="n">
        <f aca="false">COUNTIF(C21:V21,"F")</f>
        <v>0</v>
      </c>
      <c r="X21" s="7" t="n">
        <f aca="false">COUNTIF(C21:V21,"J")</f>
        <v>0</v>
      </c>
      <c r="Y21" s="18" t="str">
        <f aca="false">IFERROR(COUNTIF(C21:V21,"A")/COUNTA(C21:V21),"")</f>
        <v/>
      </c>
      <c r="Z21" s="6" t="str">
        <f aca="false">IF(Y21="","",IF(Y21&gt;=0.8,"Sí","NO"))</f>
        <v/>
      </c>
    </row>
    <row r="22" customFormat="false" ht="15" hidden="false" customHeight="false" outlineLevel="0" collapsed="false">
      <c r="A22" s="17" t="n">
        <f aca="false">IF(Alumnos!A22="","",Alumnos!A22)</f>
        <v>18</v>
      </c>
      <c r="B22" s="17" t="str">
        <f aca="false">IF(Alumnos!B22="","",Alumnos!B22)</f>
        <v/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7" t="n">
        <f aca="false">COUNTIF(C22:V22,"F")</f>
        <v>0</v>
      </c>
      <c r="X22" s="7" t="n">
        <f aca="false">COUNTIF(C22:V22,"J")</f>
        <v>0</v>
      </c>
      <c r="Y22" s="18" t="str">
        <f aca="false">IFERROR(COUNTIF(C22:V22,"A")/COUNTA(C22:V22),"")</f>
        <v/>
      </c>
      <c r="Z22" s="6" t="str">
        <f aca="false">IF(Y22="","",IF(Y22&gt;=0.8,"Sí","NO"))</f>
        <v/>
      </c>
    </row>
    <row r="23" customFormat="false" ht="15" hidden="false" customHeight="false" outlineLevel="0" collapsed="false">
      <c r="A23" s="17" t="n">
        <f aca="false">IF(Alumnos!A23="","",Alumnos!A23)</f>
        <v>19</v>
      </c>
      <c r="B23" s="17" t="str">
        <f aca="false">IF(Alumnos!B23="","",Alumnos!B23)</f>
        <v/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7" t="n">
        <f aca="false">COUNTIF(C23:V23,"F")</f>
        <v>0</v>
      </c>
      <c r="X23" s="7" t="n">
        <f aca="false">COUNTIF(C23:V23,"J")</f>
        <v>0</v>
      </c>
      <c r="Y23" s="18" t="str">
        <f aca="false">IFERROR(COUNTIF(C23:V23,"A")/COUNTA(C23:V23),"")</f>
        <v/>
      </c>
      <c r="Z23" s="6" t="str">
        <f aca="false">IF(Y23="","",IF(Y23&gt;=0.8,"Sí","NO"))</f>
        <v/>
      </c>
    </row>
    <row r="24" customFormat="false" ht="15" hidden="false" customHeight="false" outlineLevel="0" collapsed="false">
      <c r="A24" s="17" t="n">
        <f aca="false">IF(Alumnos!A24="","",Alumnos!A24)</f>
        <v>20</v>
      </c>
      <c r="B24" s="17" t="str">
        <f aca="false">IF(Alumnos!B24="","",Alumnos!B24)</f>
        <v/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7" t="n">
        <f aca="false">COUNTIF(C24:V24,"F")</f>
        <v>0</v>
      </c>
      <c r="X24" s="7" t="n">
        <f aca="false">COUNTIF(C24:V24,"J")</f>
        <v>0</v>
      </c>
      <c r="Y24" s="18" t="str">
        <f aca="false">IFERROR(COUNTIF(C24:V24,"A")/COUNTA(C24:V24),"")</f>
        <v/>
      </c>
      <c r="Z24" s="6" t="str">
        <f aca="false">IF(Y24="","",IF(Y24&gt;=0.8,"Sí","NO"))</f>
        <v/>
      </c>
    </row>
    <row r="25" customFormat="false" ht="15" hidden="false" customHeight="false" outlineLevel="0" collapsed="false">
      <c r="A25" s="17" t="n">
        <f aca="false">IF(Alumnos!A25="","",Alumnos!A25)</f>
        <v>21</v>
      </c>
      <c r="B25" s="17" t="str">
        <f aca="false">IF(Alumnos!B25="","",Alumnos!B25)</f>
        <v/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7" t="n">
        <f aca="false">COUNTIF(C25:V25,"F")</f>
        <v>0</v>
      </c>
      <c r="X25" s="7" t="n">
        <f aca="false">COUNTIF(C25:V25,"J")</f>
        <v>0</v>
      </c>
      <c r="Y25" s="18" t="str">
        <f aca="false">IFERROR(COUNTIF(C25:V25,"A")/COUNTA(C25:V25),"")</f>
        <v/>
      </c>
      <c r="Z25" s="6" t="str">
        <f aca="false">IF(Y25="","",IF(Y25&gt;=0.8,"Sí","NO"))</f>
        <v/>
      </c>
    </row>
    <row r="26" customFormat="false" ht="15" hidden="false" customHeight="false" outlineLevel="0" collapsed="false">
      <c r="A26" s="17" t="n">
        <f aca="false">IF(Alumnos!A26="","",Alumnos!A26)</f>
        <v>22</v>
      </c>
      <c r="B26" s="17" t="str">
        <f aca="false">IF(Alumnos!B26="","",Alumnos!B26)</f>
        <v/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7" t="n">
        <f aca="false">COUNTIF(C26:V26,"F")</f>
        <v>0</v>
      </c>
      <c r="X26" s="7" t="n">
        <f aca="false">COUNTIF(C26:V26,"J")</f>
        <v>0</v>
      </c>
      <c r="Y26" s="18" t="str">
        <f aca="false">IFERROR(COUNTIF(C26:V26,"A")/COUNTA(C26:V26),"")</f>
        <v/>
      </c>
      <c r="Z26" s="6" t="str">
        <f aca="false">IF(Y26="","",IF(Y26&gt;=0.8,"Sí","NO"))</f>
        <v/>
      </c>
    </row>
    <row r="27" customFormat="false" ht="15" hidden="false" customHeight="false" outlineLevel="0" collapsed="false">
      <c r="A27" s="17" t="n">
        <f aca="false">IF(Alumnos!A27="","",Alumnos!A27)</f>
        <v>23</v>
      </c>
      <c r="B27" s="17" t="str">
        <f aca="false">IF(Alumnos!B27="","",Alumnos!B27)</f>
        <v/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7" t="n">
        <f aca="false">COUNTIF(C27:V27,"F")</f>
        <v>0</v>
      </c>
      <c r="X27" s="7" t="n">
        <f aca="false">COUNTIF(C27:V27,"J")</f>
        <v>0</v>
      </c>
      <c r="Y27" s="18" t="str">
        <f aca="false">IFERROR(COUNTIF(C27:V27,"A")/COUNTA(C27:V27),"")</f>
        <v/>
      </c>
      <c r="Z27" s="6" t="str">
        <f aca="false">IF(Y27="","",IF(Y27&gt;=0.8,"Sí","NO"))</f>
        <v/>
      </c>
    </row>
    <row r="28" customFormat="false" ht="15" hidden="false" customHeight="false" outlineLevel="0" collapsed="false">
      <c r="A28" s="17" t="n">
        <f aca="false">IF(Alumnos!A28="","",Alumnos!A28)</f>
        <v>24</v>
      </c>
      <c r="B28" s="17" t="str">
        <f aca="false">IF(Alumnos!B28="","",Alumnos!B28)</f>
        <v/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7" t="n">
        <f aca="false">COUNTIF(C28:V28,"F")</f>
        <v>0</v>
      </c>
      <c r="X28" s="7" t="n">
        <f aca="false">COUNTIF(C28:V28,"J")</f>
        <v>0</v>
      </c>
      <c r="Y28" s="18" t="str">
        <f aca="false">IFERROR(COUNTIF(C28:V28,"A")/COUNTA(C28:V28),"")</f>
        <v/>
      </c>
      <c r="Z28" s="6" t="str">
        <f aca="false">IF(Y28="","",IF(Y28&gt;=0.8,"Sí","NO"))</f>
        <v/>
      </c>
    </row>
    <row r="29" customFormat="false" ht="15" hidden="false" customHeight="false" outlineLevel="0" collapsed="false">
      <c r="A29" s="17" t="n">
        <f aca="false">IF(Alumnos!A29="","",Alumnos!A29)</f>
        <v>25</v>
      </c>
      <c r="B29" s="17" t="str">
        <f aca="false">IF(Alumnos!B29="","",Alumnos!B29)</f>
        <v/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7" t="n">
        <f aca="false">COUNTIF(C29:V29,"F")</f>
        <v>0</v>
      </c>
      <c r="X29" s="7" t="n">
        <f aca="false">COUNTIF(C29:V29,"J")</f>
        <v>0</v>
      </c>
      <c r="Y29" s="18" t="str">
        <f aca="false">IFERROR(COUNTIF(C29:V29,"A")/COUNTA(C29:V29),"")</f>
        <v/>
      </c>
      <c r="Z29" s="6" t="str">
        <f aca="false">IF(Y29="","",IF(Y29&gt;=0.8,"Sí","NO"))</f>
        <v/>
      </c>
    </row>
  </sheetData>
  <mergeCells count="1">
    <mergeCell ref="A1:Z1"/>
  </mergeCells>
  <dataValidations count="1">
    <dataValidation allowBlank="true" errorStyle="stop" operator="between" showDropDown="false" showErrorMessage="false" showInputMessage="false" sqref="C4:V29" type="list">
      <formula1>"A,F,J"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24"/>
  </cols>
  <sheetData>
    <row r="1" customFormat="false" ht="21.75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9" t="s">
        <v>145</v>
      </c>
    </row>
    <row r="3" customFormat="false" ht="30" hidden="false" customHeight="true" outlineLevel="0" collapsed="false">
      <c r="A3" s="5" t="s">
        <v>146</v>
      </c>
      <c r="B3" s="5" t="s">
        <v>74</v>
      </c>
      <c r="C3" s="5" t="s">
        <v>147</v>
      </c>
      <c r="D3" s="5" t="s">
        <v>148</v>
      </c>
      <c r="E3" s="5" t="s">
        <v>149</v>
      </c>
      <c r="F3" s="5" t="s">
        <v>150</v>
      </c>
      <c r="G3" s="5" t="s">
        <v>151</v>
      </c>
      <c r="H3" s="5" t="s">
        <v>152</v>
      </c>
      <c r="I3" s="5" t="s">
        <v>153</v>
      </c>
      <c r="J3" s="5" t="s">
        <v>154</v>
      </c>
      <c r="K3" s="5" t="s">
        <v>155</v>
      </c>
    </row>
    <row r="4" customFormat="false" ht="15" hidden="false" customHeight="false" outlineLevel="0" collapsed="false">
      <c r="A4" s="6" t="s">
        <v>156</v>
      </c>
      <c r="B4" s="6" t="s">
        <v>92</v>
      </c>
      <c r="C4" s="15"/>
      <c r="D4" s="15"/>
      <c r="E4" s="15"/>
      <c r="F4" s="15"/>
      <c r="G4" s="15"/>
      <c r="H4" s="15"/>
      <c r="I4" s="7" t="str">
        <f aca="false">IF(COUNT(C4:H4)=0,"",SUM(C4:H4))</f>
        <v/>
      </c>
      <c r="J4" s="18" t="str">
        <f aca="false">IF(I4="","",I4/18)</f>
        <v/>
      </c>
      <c r="K4" s="15"/>
    </row>
    <row r="5" customFormat="false" ht="15" hidden="false" customHeight="false" outlineLevel="0" collapsed="false">
      <c r="A5" s="6" t="s">
        <v>156</v>
      </c>
      <c r="B5" s="6" t="s">
        <v>157</v>
      </c>
      <c r="C5" s="15"/>
      <c r="D5" s="15"/>
      <c r="E5" s="15"/>
      <c r="F5" s="15"/>
      <c r="G5" s="15"/>
      <c r="H5" s="15"/>
      <c r="I5" s="7" t="str">
        <f aca="false">IF(COUNT(C5:H5)=0,"",SUM(C5:H5))</f>
        <v/>
      </c>
      <c r="J5" s="18" t="str">
        <f aca="false">IF(I5="","",I5/18)</f>
        <v/>
      </c>
      <c r="K5" s="15"/>
    </row>
    <row r="6" customFormat="false" ht="15" hidden="false" customHeight="false" outlineLevel="0" collapsed="false">
      <c r="A6" s="6" t="s">
        <v>156</v>
      </c>
      <c r="B6" s="6" t="s">
        <v>158</v>
      </c>
      <c r="C6" s="15"/>
      <c r="D6" s="15"/>
      <c r="E6" s="15"/>
      <c r="F6" s="15"/>
      <c r="G6" s="15"/>
      <c r="H6" s="15"/>
      <c r="I6" s="7" t="str">
        <f aca="false">IF(COUNT(C6:H6)=0,"",SUM(C6:H6))</f>
        <v/>
      </c>
      <c r="J6" s="18" t="str">
        <f aca="false">IF(I6="","",I6/18)</f>
        <v/>
      </c>
      <c r="K6" s="15"/>
    </row>
    <row r="7" customFormat="false" ht="15" hidden="false" customHeight="false" outlineLevel="0" collapsed="false">
      <c r="A7" s="6" t="s">
        <v>156</v>
      </c>
      <c r="B7" s="6" t="s">
        <v>159</v>
      </c>
      <c r="C7" s="15"/>
      <c r="D7" s="15"/>
      <c r="E7" s="15"/>
      <c r="F7" s="15"/>
      <c r="G7" s="15"/>
      <c r="H7" s="15"/>
      <c r="I7" s="7" t="str">
        <f aca="false">IF(COUNT(C7:H7)=0,"",SUM(C7:H7))</f>
        <v/>
      </c>
      <c r="J7" s="18" t="str">
        <f aca="false">IF(I7="","",I7/18)</f>
        <v/>
      </c>
      <c r="K7" s="15"/>
    </row>
    <row r="8" customFormat="false" ht="15" hidden="false" customHeight="false" outlineLevel="0" collapsed="false">
      <c r="A8" s="6" t="s">
        <v>156</v>
      </c>
      <c r="B8" s="6" t="s">
        <v>160</v>
      </c>
      <c r="C8" s="15"/>
      <c r="D8" s="15"/>
      <c r="E8" s="15"/>
      <c r="F8" s="15"/>
      <c r="G8" s="15"/>
      <c r="H8" s="15"/>
      <c r="I8" s="7" t="str">
        <f aca="false">IF(COUNT(C8:H8)=0,"",SUM(C8:H8))</f>
        <v/>
      </c>
      <c r="J8" s="18" t="str">
        <f aca="false">IF(I8="","",I8/18)</f>
        <v/>
      </c>
      <c r="K8" s="15"/>
    </row>
    <row r="10" customFormat="false" ht="15" hidden="false" customHeight="false" outlineLevel="0" collapsed="false">
      <c r="A10" s="6" t="s">
        <v>161</v>
      </c>
      <c r="B10" s="6" t="s">
        <v>92</v>
      </c>
      <c r="C10" s="15"/>
      <c r="D10" s="15"/>
      <c r="E10" s="15"/>
      <c r="F10" s="15"/>
      <c r="G10" s="15"/>
      <c r="H10" s="15"/>
      <c r="I10" s="7" t="str">
        <f aca="false">IF(COUNT(C10:H10)=0,"",SUM(C10:H10))</f>
        <v/>
      </c>
      <c r="J10" s="18" t="str">
        <f aca="false">IF(I10="","",I10/18)</f>
        <v/>
      </c>
      <c r="K10" s="15"/>
    </row>
    <row r="11" customFormat="false" ht="15" hidden="false" customHeight="false" outlineLevel="0" collapsed="false">
      <c r="A11" s="6" t="s">
        <v>161</v>
      </c>
      <c r="B11" s="6" t="s">
        <v>157</v>
      </c>
      <c r="C11" s="15"/>
      <c r="D11" s="15"/>
      <c r="E11" s="15"/>
      <c r="F11" s="15"/>
      <c r="G11" s="15"/>
      <c r="H11" s="15"/>
      <c r="I11" s="7" t="str">
        <f aca="false">IF(COUNT(C11:H11)=0,"",SUM(C11:H11))</f>
        <v/>
      </c>
      <c r="J11" s="18" t="str">
        <f aca="false">IF(I11="","",I11/18)</f>
        <v/>
      </c>
      <c r="K11" s="15"/>
    </row>
    <row r="12" customFormat="false" ht="15" hidden="false" customHeight="false" outlineLevel="0" collapsed="false">
      <c r="A12" s="6" t="s">
        <v>161</v>
      </c>
      <c r="B12" s="6" t="s">
        <v>158</v>
      </c>
      <c r="C12" s="15"/>
      <c r="D12" s="15"/>
      <c r="E12" s="15"/>
      <c r="F12" s="15"/>
      <c r="G12" s="15"/>
      <c r="H12" s="15"/>
      <c r="I12" s="7" t="str">
        <f aca="false">IF(COUNT(C12:H12)=0,"",SUM(C12:H12))</f>
        <v/>
      </c>
      <c r="J12" s="18" t="str">
        <f aca="false">IF(I12="","",I12/18)</f>
        <v/>
      </c>
      <c r="K12" s="15"/>
    </row>
    <row r="13" customFormat="false" ht="15" hidden="false" customHeight="false" outlineLevel="0" collapsed="false">
      <c r="A13" s="6" t="s">
        <v>161</v>
      </c>
      <c r="B13" s="6" t="s">
        <v>159</v>
      </c>
      <c r="C13" s="15"/>
      <c r="D13" s="15"/>
      <c r="E13" s="15"/>
      <c r="F13" s="15"/>
      <c r="G13" s="15"/>
      <c r="H13" s="15"/>
      <c r="I13" s="7" t="str">
        <f aca="false">IF(COUNT(C13:H13)=0,"",SUM(C13:H13))</f>
        <v/>
      </c>
      <c r="J13" s="18" t="str">
        <f aca="false">IF(I13="","",I13/18)</f>
        <v/>
      </c>
      <c r="K13" s="15"/>
    </row>
    <row r="14" customFormat="false" ht="15" hidden="false" customHeight="false" outlineLevel="0" collapsed="false">
      <c r="A14" s="6" t="s">
        <v>161</v>
      </c>
      <c r="B14" s="6" t="s">
        <v>160</v>
      </c>
      <c r="C14" s="15"/>
      <c r="D14" s="15"/>
      <c r="E14" s="15"/>
      <c r="F14" s="15"/>
      <c r="G14" s="15"/>
      <c r="H14" s="15"/>
      <c r="I14" s="7" t="str">
        <f aca="false">IF(COUNT(C14:H14)=0,"",SUM(C14:H14))</f>
        <v/>
      </c>
      <c r="J14" s="18" t="str">
        <f aca="false">IF(I14="","",I14/18)</f>
        <v/>
      </c>
      <c r="K14" s="15"/>
    </row>
    <row r="16" customFormat="false" ht="15" hidden="false" customHeight="false" outlineLevel="0" collapsed="false">
      <c r="A16" s="6" t="s">
        <v>162</v>
      </c>
      <c r="B16" s="6" t="s">
        <v>92</v>
      </c>
      <c r="C16" s="15"/>
      <c r="D16" s="15"/>
      <c r="E16" s="15"/>
      <c r="F16" s="15"/>
      <c r="G16" s="15"/>
      <c r="H16" s="15"/>
      <c r="I16" s="7" t="str">
        <f aca="false">IF(COUNT(C16:H16)=0,"",SUM(C16:H16))</f>
        <v/>
      </c>
      <c r="J16" s="18" t="str">
        <f aca="false">IF(I16="","",I16/18)</f>
        <v/>
      </c>
      <c r="K16" s="15"/>
    </row>
    <row r="17" customFormat="false" ht="15" hidden="false" customHeight="false" outlineLevel="0" collapsed="false">
      <c r="A17" s="6" t="s">
        <v>162</v>
      </c>
      <c r="B17" s="6" t="s">
        <v>157</v>
      </c>
      <c r="C17" s="15"/>
      <c r="D17" s="15"/>
      <c r="E17" s="15"/>
      <c r="F17" s="15"/>
      <c r="G17" s="15"/>
      <c r="H17" s="15"/>
      <c r="I17" s="7" t="str">
        <f aca="false">IF(COUNT(C17:H17)=0,"",SUM(C17:H17))</f>
        <v/>
      </c>
      <c r="J17" s="18" t="str">
        <f aca="false">IF(I17="","",I17/18)</f>
        <v/>
      </c>
      <c r="K17" s="15"/>
    </row>
    <row r="18" customFormat="false" ht="15" hidden="false" customHeight="false" outlineLevel="0" collapsed="false">
      <c r="A18" s="6" t="s">
        <v>162</v>
      </c>
      <c r="B18" s="6" t="s">
        <v>158</v>
      </c>
      <c r="C18" s="15"/>
      <c r="D18" s="15"/>
      <c r="E18" s="15"/>
      <c r="F18" s="15"/>
      <c r="G18" s="15"/>
      <c r="H18" s="15"/>
      <c r="I18" s="7" t="str">
        <f aca="false">IF(COUNT(C18:H18)=0,"",SUM(C18:H18))</f>
        <v/>
      </c>
      <c r="J18" s="18" t="str">
        <f aca="false">IF(I18="","",I18/18)</f>
        <v/>
      </c>
      <c r="K18" s="15"/>
    </row>
    <row r="19" customFormat="false" ht="15" hidden="false" customHeight="false" outlineLevel="0" collapsed="false">
      <c r="A19" s="6" t="s">
        <v>162</v>
      </c>
      <c r="B19" s="6" t="s">
        <v>159</v>
      </c>
      <c r="C19" s="15"/>
      <c r="D19" s="15"/>
      <c r="E19" s="15"/>
      <c r="F19" s="15"/>
      <c r="G19" s="15"/>
      <c r="H19" s="15"/>
      <c r="I19" s="7" t="str">
        <f aca="false">IF(COUNT(C19:H19)=0,"",SUM(C19:H19))</f>
        <v/>
      </c>
      <c r="J19" s="18" t="str">
        <f aca="false">IF(I19="","",I19/18)</f>
        <v/>
      </c>
      <c r="K19" s="15"/>
    </row>
    <row r="20" customFormat="false" ht="15" hidden="false" customHeight="false" outlineLevel="0" collapsed="false">
      <c r="A20" s="6" t="s">
        <v>162</v>
      </c>
      <c r="B20" s="6" t="s">
        <v>160</v>
      </c>
      <c r="C20" s="15"/>
      <c r="D20" s="15"/>
      <c r="E20" s="15"/>
      <c r="F20" s="15"/>
      <c r="G20" s="15"/>
      <c r="H20" s="15"/>
      <c r="I20" s="7" t="str">
        <f aca="false">IF(COUNT(C20:H20)=0,"",SUM(C20:H20))</f>
        <v/>
      </c>
      <c r="J20" s="18" t="str">
        <f aca="false">IF(I20="","",I20/18)</f>
        <v/>
      </c>
      <c r="K20" s="15"/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46"/>
  </cols>
  <sheetData>
    <row r="1" customFormat="false" ht="21.75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9" t="s">
        <v>164</v>
      </c>
    </row>
    <row r="3" customFormat="false" ht="30" hidden="false" customHeight="true" outlineLevel="0" collapsed="false">
      <c r="A3" s="5" t="s">
        <v>71</v>
      </c>
      <c r="B3" s="5" t="s">
        <v>119</v>
      </c>
      <c r="C3" s="5" t="s">
        <v>165</v>
      </c>
      <c r="D3" s="5" t="s">
        <v>166</v>
      </c>
      <c r="E3" s="5" t="s">
        <v>167</v>
      </c>
      <c r="F3" s="5" t="s">
        <v>168</v>
      </c>
      <c r="G3" s="5" t="s">
        <v>169</v>
      </c>
      <c r="H3" s="5" t="s">
        <v>170</v>
      </c>
    </row>
    <row r="4" customFormat="false" ht="15" hidden="false" customHeight="false" outlineLevel="0" collapsed="false">
      <c r="A4" s="17" t="n">
        <f aca="false">IF(Alumnos!A4="","",Alumnos!A4)</f>
        <v>1</v>
      </c>
      <c r="B4" s="17" t="str">
        <f aca="false">IF(Alumnos!B4="","",Alumnos!B4)</f>
        <v>EJEMPLO — borrar esta fila</v>
      </c>
      <c r="C4" s="15"/>
      <c r="D4" s="15"/>
      <c r="E4" s="15"/>
      <c r="F4" s="19" t="str">
        <f aca="false">IF(COUNT(C4:E4)=0,"",AVERAGE(C4:E4))</f>
        <v/>
      </c>
      <c r="G4" s="15"/>
      <c r="H4" s="14"/>
    </row>
    <row r="5" customFormat="false" ht="15" hidden="false" customHeight="false" outlineLevel="0" collapsed="false">
      <c r="A5" s="17" t="n">
        <f aca="false">IF(Alumnos!A5="","",Alumnos!A5)</f>
        <v>1</v>
      </c>
      <c r="B5" s="17" t="str">
        <f aca="false">IF(Alumnos!B5="","",Alumnos!B5)</f>
        <v/>
      </c>
      <c r="C5" s="15"/>
      <c r="D5" s="15"/>
      <c r="E5" s="15"/>
      <c r="F5" s="19" t="str">
        <f aca="false">IF(COUNT(C5:E5)=0,"",AVERAGE(C5:E5))</f>
        <v/>
      </c>
      <c r="G5" s="15"/>
      <c r="H5" s="14"/>
    </row>
    <row r="6" customFormat="false" ht="15" hidden="false" customHeight="false" outlineLevel="0" collapsed="false">
      <c r="A6" s="17" t="n">
        <f aca="false">IF(Alumnos!A6="","",Alumnos!A6)</f>
        <v>2</v>
      </c>
      <c r="B6" s="17" t="str">
        <f aca="false">IF(Alumnos!B6="","",Alumnos!B6)</f>
        <v/>
      </c>
      <c r="C6" s="15"/>
      <c r="D6" s="15"/>
      <c r="E6" s="15"/>
      <c r="F6" s="19" t="str">
        <f aca="false">IF(COUNT(C6:E6)=0,"",AVERAGE(C6:E6))</f>
        <v/>
      </c>
      <c r="G6" s="15"/>
      <c r="H6" s="14"/>
    </row>
    <row r="7" customFormat="false" ht="15" hidden="false" customHeight="false" outlineLevel="0" collapsed="false">
      <c r="A7" s="17" t="n">
        <f aca="false">IF(Alumnos!A7="","",Alumnos!A7)</f>
        <v>3</v>
      </c>
      <c r="B7" s="17" t="str">
        <f aca="false">IF(Alumnos!B7="","",Alumnos!B7)</f>
        <v/>
      </c>
      <c r="C7" s="15"/>
      <c r="D7" s="15"/>
      <c r="E7" s="15"/>
      <c r="F7" s="19" t="str">
        <f aca="false">IF(COUNT(C7:E7)=0,"",AVERAGE(C7:E7))</f>
        <v/>
      </c>
      <c r="G7" s="15"/>
      <c r="H7" s="14"/>
    </row>
    <row r="8" customFormat="false" ht="15" hidden="false" customHeight="false" outlineLevel="0" collapsed="false">
      <c r="A8" s="17" t="n">
        <f aca="false">IF(Alumnos!A8="","",Alumnos!A8)</f>
        <v>4</v>
      </c>
      <c r="B8" s="17" t="str">
        <f aca="false">IF(Alumnos!B8="","",Alumnos!B8)</f>
        <v/>
      </c>
      <c r="C8" s="15"/>
      <c r="D8" s="15"/>
      <c r="E8" s="15"/>
      <c r="F8" s="19" t="str">
        <f aca="false">IF(COUNT(C8:E8)=0,"",AVERAGE(C8:E8))</f>
        <v/>
      </c>
      <c r="G8" s="15"/>
      <c r="H8" s="14"/>
    </row>
    <row r="9" customFormat="false" ht="15" hidden="false" customHeight="false" outlineLevel="0" collapsed="false">
      <c r="A9" s="17" t="n">
        <f aca="false">IF(Alumnos!A9="","",Alumnos!A9)</f>
        <v>5</v>
      </c>
      <c r="B9" s="17" t="str">
        <f aca="false">IF(Alumnos!B9="","",Alumnos!B9)</f>
        <v/>
      </c>
      <c r="C9" s="15"/>
      <c r="D9" s="15"/>
      <c r="E9" s="15"/>
      <c r="F9" s="19" t="str">
        <f aca="false">IF(COUNT(C9:E9)=0,"",AVERAGE(C9:E9))</f>
        <v/>
      </c>
      <c r="G9" s="15"/>
      <c r="H9" s="14"/>
    </row>
    <row r="10" customFormat="false" ht="15" hidden="false" customHeight="false" outlineLevel="0" collapsed="false">
      <c r="A10" s="17" t="n">
        <f aca="false">IF(Alumnos!A10="","",Alumnos!A10)</f>
        <v>6</v>
      </c>
      <c r="B10" s="17" t="str">
        <f aca="false">IF(Alumnos!B10="","",Alumnos!B10)</f>
        <v/>
      </c>
      <c r="C10" s="15"/>
      <c r="D10" s="15"/>
      <c r="E10" s="15"/>
      <c r="F10" s="19" t="str">
        <f aca="false">IF(COUNT(C10:E10)=0,"",AVERAGE(C10:E10))</f>
        <v/>
      </c>
      <c r="G10" s="15"/>
      <c r="H10" s="14"/>
    </row>
    <row r="11" customFormat="false" ht="15" hidden="false" customHeight="false" outlineLevel="0" collapsed="false">
      <c r="A11" s="17" t="n">
        <f aca="false">IF(Alumnos!A11="","",Alumnos!A11)</f>
        <v>7</v>
      </c>
      <c r="B11" s="17" t="str">
        <f aca="false">IF(Alumnos!B11="","",Alumnos!B11)</f>
        <v/>
      </c>
      <c r="C11" s="15"/>
      <c r="D11" s="15"/>
      <c r="E11" s="15"/>
      <c r="F11" s="19" t="str">
        <f aca="false">IF(COUNT(C11:E11)=0,"",AVERAGE(C11:E11))</f>
        <v/>
      </c>
      <c r="G11" s="15"/>
      <c r="H11" s="14"/>
    </row>
    <row r="12" customFormat="false" ht="15" hidden="false" customHeight="false" outlineLevel="0" collapsed="false">
      <c r="A12" s="17" t="n">
        <f aca="false">IF(Alumnos!A12="","",Alumnos!A12)</f>
        <v>8</v>
      </c>
      <c r="B12" s="17" t="str">
        <f aca="false">IF(Alumnos!B12="","",Alumnos!B12)</f>
        <v/>
      </c>
      <c r="C12" s="15"/>
      <c r="D12" s="15"/>
      <c r="E12" s="15"/>
      <c r="F12" s="19" t="str">
        <f aca="false">IF(COUNT(C12:E12)=0,"",AVERAGE(C12:E12))</f>
        <v/>
      </c>
      <c r="G12" s="15"/>
      <c r="H12" s="14"/>
    </row>
    <row r="13" customFormat="false" ht="15" hidden="false" customHeight="false" outlineLevel="0" collapsed="false">
      <c r="A13" s="17" t="n">
        <f aca="false">IF(Alumnos!A13="","",Alumnos!A13)</f>
        <v>9</v>
      </c>
      <c r="B13" s="17" t="str">
        <f aca="false">IF(Alumnos!B13="","",Alumnos!B13)</f>
        <v/>
      </c>
      <c r="C13" s="15"/>
      <c r="D13" s="15"/>
      <c r="E13" s="15"/>
      <c r="F13" s="19" t="str">
        <f aca="false">IF(COUNT(C13:E13)=0,"",AVERAGE(C13:E13))</f>
        <v/>
      </c>
      <c r="G13" s="15"/>
      <c r="H13" s="14"/>
    </row>
    <row r="14" customFormat="false" ht="15" hidden="false" customHeight="false" outlineLevel="0" collapsed="false">
      <c r="A14" s="17" t="n">
        <f aca="false">IF(Alumnos!A14="","",Alumnos!A14)</f>
        <v>10</v>
      </c>
      <c r="B14" s="17" t="str">
        <f aca="false">IF(Alumnos!B14="","",Alumnos!B14)</f>
        <v/>
      </c>
      <c r="C14" s="15"/>
      <c r="D14" s="15"/>
      <c r="E14" s="15"/>
      <c r="F14" s="19" t="str">
        <f aca="false">IF(COUNT(C14:E14)=0,"",AVERAGE(C14:E14))</f>
        <v/>
      </c>
      <c r="G14" s="15"/>
      <c r="H14" s="14"/>
    </row>
    <row r="15" customFormat="false" ht="15" hidden="false" customHeight="false" outlineLevel="0" collapsed="false">
      <c r="A15" s="17" t="n">
        <f aca="false">IF(Alumnos!A15="","",Alumnos!A15)</f>
        <v>11</v>
      </c>
      <c r="B15" s="17" t="str">
        <f aca="false">IF(Alumnos!B15="","",Alumnos!B15)</f>
        <v/>
      </c>
      <c r="C15" s="15"/>
      <c r="D15" s="15"/>
      <c r="E15" s="15"/>
      <c r="F15" s="19" t="str">
        <f aca="false">IF(COUNT(C15:E15)=0,"",AVERAGE(C15:E15))</f>
        <v/>
      </c>
      <c r="G15" s="15"/>
      <c r="H15" s="14"/>
    </row>
    <row r="16" customFormat="false" ht="15" hidden="false" customHeight="false" outlineLevel="0" collapsed="false">
      <c r="A16" s="17" t="n">
        <f aca="false">IF(Alumnos!A16="","",Alumnos!A16)</f>
        <v>12</v>
      </c>
      <c r="B16" s="17" t="str">
        <f aca="false">IF(Alumnos!B16="","",Alumnos!B16)</f>
        <v/>
      </c>
      <c r="C16" s="15"/>
      <c r="D16" s="15"/>
      <c r="E16" s="15"/>
      <c r="F16" s="19" t="str">
        <f aca="false">IF(COUNT(C16:E16)=0,"",AVERAGE(C16:E16))</f>
        <v/>
      </c>
      <c r="G16" s="15"/>
      <c r="H16" s="14"/>
    </row>
    <row r="17" customFormat="false" ht="15" hidden="false" customHeight="false" outlineLevel="0" collapsed="false">
      <c r="A17" s="17" t="n">
        <f aca="false">IF(Alumnos!A17="","",Alumnos!A17)</f>
        <v>13</v>
      </c>
      <c r="B17" s="17" t="str">
        <f aca="false">IF(Alumnos!B17="","",Alumnos!B17)</f>
        <v/>
      </c>
      <c r="C17" s="15"/>
      <c r="D17" s="15"/>
      <c r="E17" s="15"/>
      <c r="F17" s="19" t="str">
        <f aca="false">IF(COUNT(C17:E17)=0,"",AVERAGE(C17:E17))</f>
        <v/>
      </c>
      <c r="G17" s="15"/>
      <c r="H17" s="14"/>
    </row>
    <row r="18" customFormat="false" ht="15" hidden="false" customHeight="false" outlineLevel="0" collapsed="false">
      <c r="A18" s="17" t="n">
        <f aca="false">IF(Alumnos!A18="","",Alumnos!A18)</f>
        <v>14</v>
      </c>
      <c r="B18" s="17" t="str">
        <f aca="false">IF(Alumnos!B18="","",Alumnos!B18)</f>
        <v/>
      </c>
      <c r="C18" s="15"/>
      <c r="D18" s="15"/>
      <c r="E18" s="15"/>
      <c r="F18" s="19" t="str">
        <f aca="false">IF(COUNT(C18:E18)=0,"",AVERAGE(C18:E18))</f>
        <v/>
      </c>
      <c r="G18" s="15"/>
      <c r="H18" s="14"/>
    </row>
    <row r="19" customFormat="false" ht="15" hidden="false" customHeight="false" outlineLevel="0" collapsed="false">
      <c r="A19" s="17" t="n">
        <f aca="false">IF(Alumnos!A19="","",Alumnos!A19)</f>
        <v>15</v>
      </c>
      <c r="B19" s="17" t="str">
        <f aca="false">IF(Alumnos!B19="","",Alumnos!B19)</f>
        <v/>
      </c>
      <c r="C19" s="15"/>
      <c r="D19" s="15"/>
      <c r="E19" s="15"/>
      <c r="F19" s="19" t="str">
        <f aca="false">IF(COUNT(C19:E19)=0,"",AVERAGE(C19:E19))</f>
        <v/>
      </c>
      <c r="G19" s="15"/>
      <c r="H19" s="14"/>
    </row>
    <row r="20" customFormat="false" ht="15" hidden="false" customHeight="false" outlineLevel="0" collapsed="false">
      <c r="A20" s="17" t="n">
        <f aca="false">IF(Alumnos!A20="","",Alumnos!A20)</f>
        <v>16</v>
      </c>
      <c r="B20" s="17" t="str">
        <f aca="false">IF(Alumnos!B20="","",Alumnos!B20)</f>
        <v/>
      </c>
      <c r="C20" s="15"/>
      <c r="D20" s="15"/>
      <c r="E20" s="15"/>
      <c r="F20" s="19" t="str">
        <f aca="false">IF(COUNT(C20:E20)=0,"",AVERAGE(C20:E20))</f>
        <v/>
      </c>
      <c r="G20" s="15"/>
      <c r="H20" s="14"/>
    </row>
    <row r="21" customFormat="false" ht="15" hidden="false" customHeight="false" outlineLevel="0" collapsed="false">
      <c r="A21" s="17" t="n">
        <f aca="false">IF(Alumnos!A21="","",Alumnos!A21)</f>
        <v>17</v>
      </c>
      <c r="B21" s="17" t="str">
        <f aca="false">IF(Alumnos!B21="","",Alumnos!B21)</f>
        <v/>
      </c>
      <c r="C21" s="15"/>
      <c r="D21" s="15"/>
      <c r="E21" s="15"/>
      <c r="F21" s="19" t="str">
        <f aca="false">IF(COUNT(C21:E21)=0,"",AVERAGE(C21:E21))</f>
        <v/>
      </c>
      <c r="G21" s="15"/>
      <c r="H21" s="14"/>
    </row>
    <row r="22" customFormat="false" ht="15" hidden="false" customHeight="false" outlineLevel="0" collapsed="false">
      <c r="A22" s="17" t="n">
        <f aca="false">IF(Alumnos!A22="","",Alumnos!A22)</f>
        <v>18</v>
      </c>
      <c r="B22" s="17" t="str">
        <f aca="false">IF(Alumnos!B22="","",Alumnos!B22)</f>
        <v/>
      </c>
      <c r="C22" s="15"/>
      <c r="D22" s="15"/>
      <c r="E22" s="15"/>
      <c r="F22" s="19" t="str">
        <f aca="false">IF(COUNT(C22:E22)=0,"",AVERAGE(C22:E22))</f>
        <v/>
      </c>
      <c r="G22" s="15"/>
      <c r="H22" s="14"/>
    </row>
    <row r="23" customFormat="false" ht="15" hidden="false" customHeight="false" outlineLevel="0" collapsed="false">
      <c r="A23" s="17" t="n">
        <f aca="false">IF(Alumnos!A23="","",Alumnos!A23)</f>
        <v>19</v>
      </c>
      <c r="B23" s="17" t="str">
        <f aca="false">IF(Alumnos!B23="","",Alumnos!B23)</f>
        <v/>
      </c>
      <c r="C23" s="15"/>
      <c r="D23" s="15"/>
      <c r="E23" s="15"/>
      <c r="F23" s="19" t="str">
        <f aca="false">IF(COUNT(C23:E23)=0,"",AVERAGE(C23:E23))</f>
        <v/>
      </c>
      <c r="G23" s="15"/>
      <c r="H23" s="14"/>
    </row>
    <row r="24" customFormat="false" ht="15" hidden="false" customHeight="false" outlineLevel="0" collapsed="false">
      <c r="A24" s="17" t="n">
        <f aca="false">IF(Alumnos!A24="","",Alumnos!A24)</f>
        <v>20</v>
      </c>
      <c r="B24" s="17" t="str">
        <f aca="false">IF(Alumnos!B24="","",Alumnos!B24)</f>
        <v/>
      </c>
      <c r="C24" s="15"/>
      <c r="D24" s="15"/>
      <c r="E24" s="15"/>
      <c r="F24" s="19" t="str">
        <f aca="false">IF(COUNT(C24:E24)=0,"",AVERAGE(C24:E24))</f>
        <v/>
      </c>
      <c r="G24" s="15"/>
      <c r="H24" s="14"/>
    </row>
    <row r="25" customFormat="false" ht="15" hidden="false" customHeight="false" outlineLevel="0" collapsed="false">
      <c r="A25" s="17" t="n">
        <f aca="false">IF(Alumnos!A25="","",Alumnos!A25)</f>
        <v>21</v>
      </c>
      <c r="B25" s="17" t="str">
        <f aca="false">IF(Alumnos!B25="","",Alumnos!B25)</f>
        <v/>
      </c>
      <c r="C25" s="15"/>
      <c r="D25" s="15"/>
      <c r="E25" s="15"/>
      <c r="F25" s="19" t="str">
        <f aca="false">IF(COUNT(C25:E25)=0,"",AVERAGE(C25:E25))</f>
        <v/>
      </c>
      <c r="G25" s="15"/>
      <c r="H25" s="14"/>
    </row>
    <row r="26" customFormat="false" ht="15" hidden="false" customHeight="false" outlineLevel="0" collapsed="false">
      <c r="A26" s="17" t="n">
        <f aca="false">IF(Alumnos!A26="","",Alumnos!A26)</f>
        <v>22</v>
      </c>
      <c r="B26" s="17" t="str">
        <f aca="false">IF(Alumnos!B26="","",Alumnos!B26)</f>
        <v/>
      </c>
      <c r="C26" s="15"/>
      <c r="D26" s="15"/>
      <c r="E26" s="15"/>
      <c r="F26" s="19" t="str">
        <f aca="false">IF(COUNT(C26:E26)=0,"",AVERAGE(C26:E26))</f>
        <v/>
      </c>
      <c r="G26" s="15"/>
      <c r="H26" s="14"/>
    </row>
    <row r="27" customFormat="false" ht="15" hidden="false" customHeight="false" outlineLevel="0" collapsed="false">
      <c r="A27" s="17" t="n">
        <f aca="false">IF(Alumnos!A27="","",Alumnos!A27)</f>
        <v>23</v>
      </c>
      <c r="B27" s="17" t="str">
        <f aca="false">IF(Alumnos!B27="","",Alumnos!B27)</f>
        <v/>
      </c>
      <c r="C27" s="15"/>
      <c r="D27" s="15"/>
      <c r="E27" s="15"/>
      <c r="F27" s="19" t="str">
        <f aca="false">IF(COUNT(C27:E27)=0,"",AVERAGE(C27:E27))</f>
        <v/>
      </c>
      <c r="G27" s="15"/>
      <c r="H27" s="14"/>
    </row>
    <row r="28" customFormat="false" ht="15" hidden="false" customHeight="false" outlineLevel="0" collapsed="false">
      <c r="A28" s="17" t="n">
        <f aca="false">IF(Alumnos!A28="","",Alumnos!A28)</f>
        <v>24</v>
      </c>
      <c r="B28" s="17" t="str">
        <f aca="false">IF(Alumnos!B28="","",Alumnos!B28)</f>
        <v/>
      </c>
      <c r="C28" s="15"/>
      <c r="D28" s="15"/>
      <c r="E28" s="15"/>
      <c r="F28" s="19" t="str">
        <f aca="false">IF(COUNT(C28:E28)=0,"",AVERAGE(C28:E28))</f>
        <v/>
      </c>
      <c r="G28" s="15"/>
      <c r="H28" s="14"/>
    </row>
    <row r="29" customFormat="false" ht="15" hidden="false" customHeight="false" outlineLevel="0" collapsed="false">
      <c r="A29" s="17" t="n">
        <f aca="false">IF(Alumnos!A29="","",Alumnos!A29)</f>
        <v>25</v>
      </c>
      <c r="B29" s="17" t="str">
        <f aca="false">IF(Alumnos!B29="","",Alumnos!B29)</f>
        <v/>
      </c>
      <c r="C29" s="15"/>
      <c r="D29" s="15"/>
      <c r="E29" s="15"/>
      <c r="F29" s="19" t="str">
        <f aca="false">IF(COUNT(C29:E29)=0,"",AVERAGE(C29:E29))</f>
        <v/>
      </c>
      <c r="G29" s="15"/>
      <c r="H29" s="14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G4:G29" type="list">
      <formula1>"P1,P2,P3,P1+P2,P1+P3,P2+P3,Los tres,Ninguno"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7" min="7" style="0" width="50"/>
  </cols>
  <sheetData>
    <row r="1" customFormat="false" ht="21.7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172</v>
      </c>
    </row>
    <row r="3" customFormat="false" ht="30" hidden="false" customHeight="true" outlineLevel="0" collapsed="false">
      <c r="A3" s="5" t="s">
        <v>71</v>
      </c>
      <c r="B3" s="5" t="s">
        <v>119</v>
      </c>
      <c r="C3" s="5" t="s">
        <v>173</v>
      </c>
      <c r="D3" s="5" t="s">
        <v>174</v>
      </c>
      <c r="E3" s="5" t="s">
        <v>175</v>
      </c>
      <c r="F3" s="5" t="s">
        <v>176</v>
      </c>
      <c r="G3" s="5" t="s">
        <v>170</v>
      </c>
    </row>
    <row r="4" customFormat="false" ht="15" hidden="false" customHeight="false" outlineLevel="0" collapsed="false">
      <c r="A4" s="17" t="n">
        <f aca="false">IF(Alumnos!A4="","",Alumnos!A4)</f>
        <v>1</v>
      </c>
      <c r="B4" s="17" t="str">
        <f aca="false">IF(Alumnos!B4="","",Alumnos!B4)</f>
        <v>EJEMPLO — borrar esta fila</v>
      </c>
      <c r="C4" s="15"/>
      <c r="D4" s="15"/>
      <c r="E4" s="15"/>
      <c r="F4" s="19" t="str">
        <f aca="false">IF(COUNT(C4:E4)=0,"",AVERAGE(C4:E4))</f>
        <v/>
      </c>
      <c r="G4" s="14"/>
    </row>
    <row r="5" customFormat="false" ht="15" hidden="false" customHeight="false" outlineLevel="0" collapsed="false">
      <c r="A5" s="17" t="n">
        <f aca="false">IF(Alumnos!A5="","",Alumnos!A5)</f>
        <v>1</v>
      </c>
      <c r="B5" s="17" t="str">
        <f aca="false">IF(Alumnos!B5="","",Alumnos!B5)</f>
        <v/>
      </c>
      <c r="C5" s="15"/>
      <c r="D5" s="15"/>
      <c r="E5" s="15"/>
      <c r="F5" s="19" t="str">
        <f aca="false">IF(COUNT(C5:E5)=0,"",AVERAGE(C5:E5))</f>
        <v/>
      </c>
      <c r="G5" s="14"/>
    </row>
    <row r="6" customFormat="false" ht="15" hidden="false" customHeight="false" outlineLevel="0" collapsed="false">
      <c r="A6" s="17" t="n">
        <f aca="false">IF(Alumnos!A6="","",Alumnos!A6)</f>
        <v>2</v>
      </c>
      <c r="B6" s="17" t="str">
        <f aca="false">IF(Alumnos!B6="","",Alumnos!B6)</f>
        <v/>
      </c>
      <c r="C6" s="15"/>
      <c r="D6" s="15"/>
      <c r="E6" s="15"/>
      <c r="F6" s="19" t="str">
        <f aca="false">IF(COUNT(C6:E6)=0,"",AVERAGE(C6:E6))</f>
        <v/>
      </c>
      <c r="G6" s="14"/>
    </row>
    <row r="7" customFormat="false" ht="15" hidden="false" customHeight="false" outlineLevel="0" collapsed="false">
      <c r="A7" s="17" t="n">
        <f aca="false">IF(Alumnos!A7="","",Alumnos!A7)</f>
        <v>3</v>
      </c>
      <c r="B7" s="17" t="str">
        <f aca="false">IF(Alumnos!B7="","",Alumnos!B7)</f>
        <v/>
      </c>
      <c r="C7" s="15"/>
      <c r="D7" s="15"/>
      <c r="E7" s="15"/>
      <c r="F7" s="19" t="str">
        <f aca="false">IF(COUNT(C7:E7)=0,"",AVERAGE(C7:E7))</f>
        <v/>
      </c>
      <c r="G7" s="14"/>
    </row>
    <row r="8" customFormat="false" ht="15" hidden="false" customHeight="false" outlineLevel="0" collapsed="false">
      <c r="A8" s="17" t="n">
        <f aca="false">IF(Alumnos!A8="","",Alumnos!A8)</f>
        <v>4</v>
      </c>
      <c r="B8" s="17" t="str">
        <f aca="false">IF(Alumnos!B8="","",Alumnos!B8)</f>
        <v/>
      </c>
      <c r="C8" s="15"/>
      <c r="D8" s="15"/>
      <c r="E8" s="15"/>
      <c r="F8" s="19" t="str">
        <f aca="false">IF(COUNT(C8:E8)=0,"",AVERAGE(C8:E8))</f>
        <v/>
      </c>
      <c r="G8" s="14"/>
    </row>
    <row r="9" customFormat="false" ht="15" hidden="false" customHeight="false" outlineLevel="0" collapsed="false">
      <c r="A9" s="17" t="n">
        <f aca="false">IF(Alumnos!A9="","",Alumnos!A9)</f>
        <v>5</v>
      </c>
      <c r="B9" s="17" t="str">
        <f aca="false">IF(Alumnos!B9="","",Alumnos!B9)</f>
        <v/>
      </c>
      <c r="C9" s="15"/>
      <c r="D9" s="15"/>
      <c r="E9" s="15"/>
      <c r="F9" s="19" t="str">
        <f aca="false">IF(COUNT(C9:E9)=0,"",AVERAGE(C9:E9))</f>
        <v/>
      </c>
      <c r="G9" s="14"/>
    </row>
    <row r="10" customFormat="false" ht="15" hidden="false" customHeight="false" outlineLevel="0" collapsed="false">
      <c r="A10" s="17" t="n">
        <f aca="false">IF(Alumnos!A10="","",Alumnos!A10)</f>
        <v>6</v>
      </c>
      <c r="B10" s="17" t="str">
        <f aca="false">IF(Alumnos!B10="","",Alumnos!B10)</f>
        <v/>
      </c>
      <c r="C10" s="15"/>
      <c r="D10" s="15"/>
      <c r="E10" s="15"/>
      <c r="F10" s="19" t="str">
        <f aca="false">IF(COUNT(C10:E10)=0,"",AVERAGE(C10:E10))</f>
        <v/>
      </c>
      <c r="G10" s="14"/>
    </row>
    <row r="11" customFormat="false" ht="15" hidden="false" customHeight="false" outlineLevel="0" collapsed="false">
      <c r="A11" s="17" t="n">
        <f aca="false">IF(Alumnos!A11="","",Alumnos!A11)</f>
        <v>7</v>
      </c>
      <c r="B11" s="17" t="str">
        <f aca="false">IF(Alumnos!B11="","",Alumnos!B11)</f>
        <v/>
      </c>
      <c r="C11" s="15"/>
      <c r="D11" s="15"/>
      <c r="E11" s="15"/>
      <c r="F11" s="19" t="str">
        <f aca="false">IF(COUNT(C11:E11)=0,"",AVERAGE(C11:E11))</f>
        <v/>
      </c>
      <c r="G11" s="14"/>
    </row>
    <row r="12" customFormat="false" ht="15" hidden="false" customHeight="false" outlineLevel="0" collapsed="false">
      <c r="A12" s="17" t="n">
        <f aca="false">IF(Alumnos!A12="","",Alumnos!A12)</f>
        <v>8</v>
      </c>
      <c r="B12" s="17" t="str">
        <f aca="false">IF(Alumnos!B12="","",Alumnos!B12)</f>
        <v/>
      </c>
      <c r="C12" s="15"/>
      <c r="D12" s="15"/>
      <c r="E12" s="15"/>
      <c r="F12" s="19" t="str">
        <f aca="false">IF(COUNT(C12:E12)=0,"",AVERAGE(C12:E12))</f>
        <v/>
      </c>
      <c r="G12" s="14"/>
    </row>
    <row r="13" customFormat="false" ht="15" hidden="false" customHeight="false" outlineLevel="0" collapsed="false">
      <c r="A13" s="17" t="n">
        <f aca="false">IF(Alumnos!A13="","",Alumnos!A13)</f>
        <v>9</v>
      </c>
      <c r="B13" s="17" t="str">
        <f aca="false">IF(Alumnos!B13="","",Alumnos!B13)</f>
        <v/>
      </c>
      <c r="C13" s="15"/>
      <c r="D13" s="15"/>
      <c r="E13" s="15"/>
      <c r="F13" s="19" t="str">
        <f aca="false">IF(COUNT(C13:E13)=0,"",AVERAGE(C13:E13))</f>
        <v/>
      </c>
      <c r="G13" s="14"/>
    </row>
    <row r="14" customFormat="false" ht="15" hidden="false" customHeight="false" outlineLevel="0" collapsed="false">
      <c r="A14" s="17" t="n">
        <f aca="false">IF(Alumnos!A14="","",Alumnos!A14)</f>
        <v>10</v>
      </c>
      <c r="B14" s="17" t="str">
        <f aca="false">IF(Alumnos!B14="","",Alumnos!B14)</f>
        <v/>
      </c>
      <c r="C14" s="15"/>
      <c r="D14" s="15"/>
      <c r="E14" s="15"/>
      <c r="F14" s="19" t="str">
        <f aca="false">IF(COUNT(C14:E14)=0,"",AVERAGE(C14:E14))</f>
        <v/>
      </c>
      <c r="G14" s="14"/>
    </row>
    <row r="15" customFormat="false" ht="15" hidden="false" customHeight="false" outlineLevel="0" collapsed="false">
      <c r="A15" s="17" t="n">
        <f aca="false">IF(Alumnos!A15="","",Alumnos!A15)</f>
        <v>11</v>
      </c>
      <c r="B15" s="17" t="str">
        <f aca="false">IF(Alumnos!B15="","",Alumnos!B15)</f>
        <v/>
      </c>
      <c r="C15" s="15"/>
      <c r="D15" s="15"/>
      <c r="E15" s="15"/>
      <c r="F15" s="19" t="str">
        <f aca="false">IF(COUNT(C15:E15)=0,"",AVERAGE(C15:E15))</f>
        <v/>
      </c>
      <c r="G15" s="14"/>
    </row>
    <row r="16" customFormat="false" ht="15" hidden="false" customHeight="false" outlineLevel="0" collapsed="false">
      <c r="A16" s="17" t="n">
        <f aca="false">IF(Alumnos!A16="","",Alumnos!A16)</f>
        <v>12</v>
      </c>
      <c r="B16" s="17" t="str">
        <f aca="false">IF(Alumnos!B16="","",Alumnos!B16)</f>
        <v/>
      </c>
      <c r="C16" s="15"/>
      <c r="D16" s="15"/>
      <c r="E16" s="15"/>
      <c r="F16" s="19" t="str">
        <f aca="false">IF(COUNT(C16:E16)=0,"",AVERAGE(C16:E16))</f>
        <v/>
      </c>
      <c r="G16" s="14"/>
    </row>
    <row r="17" customFormat="false" ht="15" hidden="false" customHeight="false" outlineLevel="0" collapsed="false">
      <c r="A17" s="17" t="n">
        <f aca="false">IF(Alumnos!A17="","",Alumnos!A17)</f>
        <v>13</v>
      </c>
      <c r="B17" s="17" t="str">
        <f aca="false">IF(Alumnos!B17="","",Alumnos!B17)</f>
        <v/>
      </c>
      <c r="C17" s="15"/>
      <c r="D17" s="15"/>
      <c r="E17" s="15"/>
      <c r="F17" s="19" t="str">
        <f aca="false">IF(COUNT(C17:E17)=0,"",AVERAGE(C17:E17))</f>
        <v/>
      </c>
      <c r="G17" s="14"/>
    </row>
    <row r="18" customFormat="false" ht="15" hidden="false" customHeight="false" outlineLevel="0" collapsed="false">
      <c r="A18" s="17" t="n">
        <f aca="false">IF(Alumnos!A18="","",Alumnos!A18)</f>
        <v>14</v>
      </c>
      <c r="B18" s="17" t="str">
        <f aca="false">IF(Alumnos!B18="","",Alumnos!B18)</f>
        <v/>
      </c>
      <c r="C18" s="15"/>
      <c r="D18" s="15"/>
      <c r="E18" s="15"/>
      <c r="F18" s="19" t="str">
        <f aca="false">IF(COUNT(C18:E18)=0,"",AVERAGE(C18:E18))</f>
        <v/>
      </c>
      <c r="G18" s="14"/>
    </row>
    <row r="19" customFormat="false" ht="15" hidden="false" customHeight="false" outlineLevel="0" collapsed="false">
      <c r="A19" s="17" t="n">
        <f aca="false">IF(Alumnos!A19="","",Alumnos!A19)</f>
        <v>15</v>
      </c>
      <c r="B19" s="17" t="str">
        <f aca="false">IF(Alumnos!B19="","",Alumnos!B19)</f>
        <v/>
      </c>
      <c r="C19" s="15"/>
      <c r="D19" s="15"/>
      <c r="E19" s="15"/>
      <c r="F19" s="19" t="str">
        <f aca="false">IF(COUNT(C19:E19)=0,"",AVERAGE(C19:E19))</f>
        <v/>
      </c>
      <c r="G19" s="14"/>
    </row>
    <row r="20" customFormat="false" ht="15" hidden="false" customHeight="false" outlineLevel="0" collapsed="false">
      <c r="A20" s="17" t="n">
        <f aca="false">IF(Alumnos!A20="","",Alumnos!A20)</f>
        <v>16</v>
      </c>
      <c r="B20" s="17" t="str">
        <f aca="false">IF(Alumnos!B20="","",Alumnos!B20)</f>
        <v/>
      </c>
      <c r="C20" s="15"/>
      <c r="D20" s="15"/>
      <c r="E20" s="15"/>
      <c r="F20" s="19" t="str">
        <f aca="false">IF(COUNT(C20:E20)=0,"",AVERAGE(C20:E20))</f>
        <v/>
      </c>
      <c r="G20" s="14"/>
    </row>
    <row r="21" customFormat="false" ht="15" hidden="false" customHeight="false" outlineLevel="0" collapsed="false">
      <c r="A21" s="17" t="n">
        <f aca="false">IF(Alumnos!A21="","",Alumnos!A21)</f>
        <v>17</v>
      </c>
      <c r="B21" s="17" t="str">
        <f aca="false">IF(Alumnos!B21="","",Alumnos!B21)</f>
        <v/>
      </c>
      <c r="C21" s="15"/>
      <c r="D21" s="15"/>
      <c r="E21" s="15"/>
      <c r="F21" s="19" t="str">
        <f aca="false">IF(COUNT(C21:E21)=0,"",AVERAGE(C21:E21))</f>
        <v/>
      </c>
      <c r="G21" s="14"/>
    </row>
    <row r="22" customFormat="false" ht="15" hidden="false" customHeight="false" outlineLevel="0" collapsed="false">
      <c r="A22" s="17" t="n">
        <f aca="false">IF(Alumnos!A22="","",Alumnos!A22)</f>
        <v>18</v>
      </c>
      <c r="B22" s="17" t="str">
        <f aca="false">IF(Alumnos!B22="","",Alumnos!B22)</f>
        <v/>
      </c>
      <c r="C22" s="15"/>
      <c r="D22" s="15"/>
      <c r="E22" s="15"/>
      <c r="F22" s="19" t="str">
        <f aca="false">IF(COUNT(C22:E22)=0,"",AVERAGE(C22:E22))</f>
        <v/>
      </c>
      <c r="G22" s="14"/>
    </row>
    <row r="23" customFormat="false" ht="15" hidden="false" customHeight="false" outlineLevel="0" collapsed="false">
      <c r="A23" s="17" t="n">
        <f aca="false">IF(Alumnos!A23="","",Alumnos!A23)</f>
        <v>19</v>
      </c>
      <c r="B23" s="17" t="str">
        <f aca="false">IF(Alumnos!B23="","",Alumnos!B23)</f>
        <v/>
      </c>
      <c r="C23" s="15"/>
      <c r="D23" s="15"/>
      <c r="E23" s="15"/>
      <c r="F23" s="19" t="str">
        <f aca="false">IF(COUNT(C23:E23)=0,"",AVERAGE(C23:E23))</f>
        <v/>
      </c>
      <c r="G23" s="14"/>
    </row>
    <row r="24" customFormat="false" ht="15" hidden="false" customHeight="false" outlineLevel="0" collapsed="false">
      <c r="A24" s="17" t="n">
        <f aca="false">IF(Alumnos!A24="","",Alumnos!A24)</f>
        <v>20</v>
      </c>
      <c r="B24" s="17" t="str">
        <f aca="false">IF(Alumnos!B24="","",Alumnos!B24)</f>
        <v/>
      </c>
      <c r="C24" s="15"/>
      <c r="D24" s="15"/>
      <c r="E24" s="15"/>
      <c r="F24" s="19" t="str">
        <f aca="false">IF(COUNT(C24:E24)=0,"",AVERAGE(C24:E24))</f>
        <v/>
      </c>
      <c r="G24" s="14"/>
    </row>
    <row r="25" customFormat="false" ht="15" hidden="false" customHeight="false" outlineLevel="0" collapsed="false">
      <c r="A25" s="17" t="n">
        <f aca="false">IF(Alumnos!A25="","",Alumnos!A25)</f>
        <v>21</v>
      </c>
      <c r="B25" s="17" t="str">
        <f aca="false">IF(Alumnos!B25="","",Alumnos!B25)</f>
        <v/>
      </c>
      <c r="C25" s="15"/>
      <c r="D25" s="15"/>
      <c r="E25" s="15"/>
      <c r="F25" s="19" t="str">
        <f aca="false">IF(COUNT(C25:E25)=0,"",AVERAGE(C25:E25))</f>
        <v/>
      </c>
      <c r="G25" s="14"/>
    </row>
    <row r="26" customFormat="false" ht="15" hidden="false" customHeight="false" outlineLevel="0" collapsed="false">
      <c r="A26" s="17" t="n">
        <f aca="false">IF(Alumnos!A26="","",Alumnos!A26)</f>
        <v>22</v>
      </c>
      <c r="B26" s="17" t="str">
        <f aca="false">IF(Alumnos!B26="","",Alumnos!B26)</f>
        <v/>
      </c>
      <c r="C26" s="15"/>
      <c r="D26" s="15"/>
      <c r="E26" s="15"/>
      <c r="F26" s="19" t="str">
        <f aca="false">IF(COUNT(C26:E26)=0,"",AVERAGE(C26:E26))</f>
        <v/>
      </c>
      <c r="G26" s="14"/>
    </row>
    <row r="27" customFormat="false" ht="15" hidden="false" customHeight="false" outlineLevel="0" collapsed="false">
      <c r="A27" s="17" t="n">
        <f aca="false">IF(Alumnos!A27="","",Alumnos!A27)</f>
        <v>23</v>
      </c>
      <c r="B27" s="17" t="str">
        <f aca="false">IF(Alumnos!B27="","",Alumnos!B27)</f>
        <v/>
      </c>
      <c r="C27" s="15"/>
      <c r="D27" s="15"/>
      <c r="E27" s="15"/>
      <c r="F27" s="19" t="str">
        <f aca="false">IF(COUNT(C27:E27)=0,"",AVERAGE(C27:E27))</f>
        <v/>
      </c>
      <c r="G27" s="14"/>
    </row>
    <row r="28" customFormat="false" ht="15" hidden="false" customHeight="false" outlineLevel="0" collapsed="false">
      <c r="A28" s="17" t="n">
        <f aca="false">IF(Alumnos!A28="","",Alumnos!A28)</f>
        <v>24</v>
      </c>
      <c r="B28" s="17" t="str">
        <f aca="false">IF(Alumnos!B28="","",Alumnos!B28)</f>
        <v/>
      </c>
      <c r="C28" s="15"/>
      <c r="D28" s="15"/>
      <c r="E28" s="15"/>
      <c r="F28" s="19" t="str">
        <f aca="false">IF(COUNT(C28:E28)=0,"",AVERAGE(C28:E28))</f>
        <v/>
      </c>
      <c r="G28" s="14"/>
    </row>
    <row r="29" customFormat="false" ht="15" hidden="false" customHeight="false" outlineLevel="0" collapsed="false">
      <c r="A29" s="17" t="n">
        <f aca="false">IF(Alumnos!A29="","",Alumnos!A29)</f>
        <v>25</v>
      </c>
      <c r="B29" s="17" t="str">
        <f aca="false">IF(Alumnos!B29="","",Alumnos!B29)</f>
        <v/>
      </c>
      <c r="C29" s="15"/>
      <c r="D29" s="15"/>
      <c r="E29" s="15"/>
      <c r="F29" s="19" t="str">
        <f aca="false">IF(COUNT(C29:E29)=0,"",AVERAGE(C29:E29))</f>
        <v/>
      </c>
      <c r="G29" s="14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5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6" min="4" style="0" width="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21.75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178</v>
      </c>
    </row>
    <row r="4" customFormat="false" ht="15" hidden="false" customHeight="false" outlineLevel="0" collapsed="false">
      <c r="A4" s="2" t="s">
        <v>31</v>
      </c>
    </row>
    <row r="5" customFormat="false" ht="15" hidden="false" customHeight="false" outlineLevel="0" collapsed="false">
      <c r="A5" s="17" t="s">
        <v>173</v>
      </c>
      <c r="B5" s="20" t="n">
        <v>0.23</v>
      </c>
    </row>
    <row r="6" customFormat="false" ht="15" hidden="false" customHeight="false" outlineLevel="0" collapsed="false">
      <c r="A6" s="17" t="s">
        <v>174</v>
      </c>
      <c r="B6" s="20" t="n">
        <v>0.23</v>
      </c>
    </row>
    <row r="7" customFormat="false" ht="15" hidden="false" customHeight="false" outlineLevel="0" collapsed="false">
      <c r="A7" s="17" t="s">
        <v>175</v>
      </c>
      <c r="B7" s="20" t="n">
        <v>0.24</v>
      </c>
    </row>
    <row r="8" customFormat="false" ht="15" hidden="false" customHeight="false" outlineLevel="0" collapsed="false">
      <c r="A8" s="17" t="s">
        <v>179</v>
      </c>
      <c r="B8" s="20" t="n">
        <v>0.15</v>
      </c>
    </row>
    <row r="9" customFormat="false" ht="15" hidden="false" customHeight="false" outlineLevel="0" collapsed="false">
      <c r="A9" s="17" t="s">
        <v>180</v>
      </c>
      <c r="B9" s="20" t="n">
        <v>0.1</v>
      </c>
    </row>
    <row r="10" customFormat="false" ht="15" hidden="false" customHeight="false" outlineLevel="0" collapsed="false">
      <c r="A10" s="17" t="s">
        <v>181</v>
      </c>
      <c r="B10" s="20" t="n">
        <v>0.05</v>
      </c>
    </row>
    <row r="11" customFormat="false" ht="15" hidden="false" customHeight="false" outlineLevel="0" collapsed="false">
      <c r="A11" s="2" t="s">
        <v>182</v>
      </c>
      <c r="B11" s="21" t="n">
        <f aca="false">SUM(B5:B10)</f>
        <v>1</v>
      </c>
    </row>
    <row r="12" customFormat="false" ht="15" hidden="false" customHeight="false" outlineLevel="0" collapsed="false">
      <c r="A12" s="2" t="s">
        <v>183</v>
      </c>
      <c r="B12" s="21" t="n">
        <f aca="false">SUM(B5:B7)</f>
        <v>0.7</v>
      </c>
    </row>
    <row r="15" customFormat="false" ht="30" hidden="false" customHeight="true" outlineLevel="0" collapsed="false">
      <c r="A15" s="5" t="s">
        <v>71</v>
      </c>
      <c r="B15" s="5" t="s">
        <v>119</v>
      </c>
      <c r="C15" s="5" t="s">
        <v>74</v>
      </c>
      <c r="D15" s="5" t="s">
        <v>184</v>
      </c>
      <c r="E15" s="5" t="s">
        <v>185</v>
      </c>
      <c r="F15" s="5" t="s">
        <v>186</v>
      </c>
      <c r="G15" s="5" t="s">
        <v>187</v>
      </c>
      <c r="H15" s="5" t="s">
        <v>188</v>
      </c>
      <c r="I15" s="5" t="s">
        <v>189</v>
      </c>
      <c r="J15" s="5" t="s">
        <v>190</v>
      </c>
      <c r="K15" s="5" t="s">
        <v>191</v>
      </c>
      <c r="L15" s="5" t="s">
        <v>192</v>
      </c>
    </row>
    <row r="16" customFormat="false" ht="15" hidden="false" customHeight="false" outlineLevel="0" collapsed="false">
      <c r="A16" s="7" t="n">
        <f aca="false">IF(Alumnos!A4="","",Alumnos!A4)</f>
        <v>1</v>
      </c>
      <c r="B16" s="22" t="str">
        <f aca="false">IF(Alumnos!B4="","",Alumnos!B4)</f>
        <v>EJEMPLO — borrar esta fila</v>
      </c>
      <c r="C16" s="7" t="str">
        <f aca="false">IF(Alumnos!D4="","",Alumnos!D4)</f>
        <v>E1</v>
      </c>
      <c r="D16" s="7" t="str">
        <f aca="false">IF(Examenes!C4="","",Examenes!C4)</f>
        <v/>
      </c>
      <c r="E16" s="7" t="str">
        <f aca="false">IF(Examenes!D4="","",Examenes!D4)</f>
        <v/>
      </c>
      <c r="F16" s="7" t="str">
        <f aca="false">IF(Examenes!E4="","",Examenes!E4)</f>
        <v/>
      </c>
      <c r="G16" s="19" t="str">
        <f aca="false">IFERROR(SUMIF(Entregables!$B$4:$B$18,$C16,Entregables!$I$4:$I$18)/(COUNTIFS(Entregables!$B$4:$B$18,$C16,Entregables!$I$4:$I$18,"&gt;0")*18)*100,"")</f>
        <v/>
      </c>
      <c r="H16" s="19" t="str">
        <f aca="false">IF(Bitacora_IA!F4="","",Bitacora_IA!F4*10)</f>
        <v/>
      </c>
      <c r="I16" s="19" t="str">
        <f aca="false">IFERROR(Asistencia!Y4*100,"")</f>
        <v/>
      </c>
      <c r="J16" s="23" t="str">
        <f aca="false">IFERROR(IF(COUNT(D16:I16)=0,"",D16*$B$5+E16*$B$6+F16*$B$7+G16*$B$8+H16*$B$9+I16*$B$10),"")</f>
        <v/>
      </c>
      <c r="K16" s="6" t="str">
        <f aca="false">IF(J16="","",ROUND(J16/10,1))</f>
        <v/>
      </c>
      <c r="L16" s="6" t="str">
        <f aca="false">IF(K16="","",IF(K16&gt;=9,"MB",IF(K16&gt;=7.8,"B",IF(K16&gt;=6,"S","NA"))))</f>
        <v/>
      </c>
    </row>
    <row r="17" customFormat="false" ht="15" hidden="false" customHeight="false" outlineLevel="0" collapsed="false">
      <c r="A17" s="7" t="n">
        <f aca="false">IF(Alumnos!A5="","",Alumnos!A5)</f>
        <v>1</v>
      </c>
      <c r="B17" s="22" t="str">
        <f aca="false">IF(Alumnos!B5="","",Alumnos!B5)</f>
        <v/>
      </c>
      <c r="C17" s="7" t="str">
        <f aca="false">IF(Alumnos!D5="","",Alumnos!D5)</f>
        <v/>
      </c>
      <c r="D17" s="7" t="str">
        <f aca="false">IF(Examenes!C5="","",Examenes!C5)</f>
        <v/>
      </c>
      <c r="E17" s="7" t="str">
        <f aca="false">IF(Examenes!D5="","",Examenes!D5)</f>
        <v/>
      </c>
      <c r="F17" s="7" t="str">
        <f aca="false">IF(Examenes!E5="","",Examenes!E5)</f>
        <v/>
      </c>
      <c r="G17" s="19" t="str">
        <f aca="false">IFERROR(SUMIF(Entregables!$B$4:$B$18,$C17,Entregables!$I$4:$I$18)/(COUNTIFS(Entregables!$B$4:$B$18,$C17,Entregables!$I$4:$I$18,"&gt;0")*18)*100,"")</f>
        <v/>
      </c>
      <c r="H17" s="19" t="str">
        <f aca="false">IF(Bitacora_IA!F5="","",Bitacora_IA!F5*10)</f>
        <v/>
      </c>
      <c r="I17" s="19" t="str">
        <f aca="false">IFERROR(Asistencia!Y5*100,"")</f>
        <v/>
      </c>
      <c r="J17" s="23" t="str">
        <f aca="false">IFERROR(IF(COUNT(D17:I17)=0,"",D17*$B$5+E17*$B$6+F17*$B$7+G17*$B$8+H17*$B$9+I17*$B$10),"")</f>
        <v/>
      </c>
      <c r="K17" s="6" t="str">
        <f aca="false">IF(J17="","",ROUND(J17/10,1))</f>
        <v/>
      </c>
      <c r="L17" s="6" t="str">
        <f aca="false">IF(K17="","",IF(K17&gt;=9,"MB",IF(K17&gt;=7.8,"B",IF(K17&gt;=6,"S","NA"))))</f>
        <v/>
      </c>
    </row>
    <row r="18" customFormat="false" ht="15" hidden="false" customHeight="false" outlineLevel="0" collapsed="false">
      <c r="A18" s="7" t="n">
        <f aca="false">IF(Alumnos!A6="","",Alumnos!A6)</f>
        <v>2</v>
      </c>
      <c r="B18" s="22" t="str">
        <f aca="false">IF(Alumnos!B6="","",Alumnos!B6)</f>
        <v/>
      </c>
      <c r="C18" s="7" t="str">
        <f aca="false">IF(Alumnos!D6="","",Alumnos!D6)</f>
        <v/>
      </c>
      <c r="D18" s="7" t="str">
        <f aca="false">IF(Examenes!C6="","",Examenes!C6)</f>
        <v/>
      </c>
      <c r="E18" s="7" t="str">
        <f aca="false">IF(Examenes!D6="","",Examenes!D6)</f>
        <v/>
      </c>
      <c r="F18" s="7" t="str">
        <f aca="false">IF(Examenes!E6="","",Examenes!E6)</f>
        <v/>
      </c>
      <c r="G18" s="19" t="str">
        <f aca="false">IFERROR(SUMIF(Entregables!$B$4:$B$18,$C18,Entregables!$I$4:$I$18)/(COUNTIFS(Entregables!$B$4:$B$18,$C18,Entregables!$I$4:$I$18,"&gt;0")*18)*100,"")</f>
        <v/>
      </c>
      <c r="H18" s="19" t="str">
        <f aca="false">IF(Bitacora_IA!F6="","",Bitacora_IA!F6*10)</f>
        <v/>
      </c>
      <c r="I18" s="19" t="str">
        <f aca="false">IFERROR(Asistencia!Y6*100,"")</f>
        <v/>
      </c>
      <c r="J18" s="23" t="str">
        <f aca="false">IFERROR(IF(COUNT(D18:I18)=0,"",D18*$B$5+E18*$B$6+F18*$B$7+G18*$B$8+H18*$B$9+I18*$B$10),"")</f>
        <v/>
      </c>
      <c r="K18" s="6" t="str">
        <f aca="false">IF(J18="","",ROUND(J18/10,1))</f>
        <v/>
      </c>
      <c r="L18" s="6" t="str">
        <f aca="false">IF(K18="","",IF(K18&gt;=9,"MB",IF(K18&gt;=7.8,"B",IF(K18&gt;=6,"S","NA"))))</f>
        <v/>
      </c>
    </row>
    <row r="19" customFormat="false" ht="15" hidden="false" customHeight="false" outlineLevel="0" collapsed="false">
      <c r="A19" s="7" t="n">
        <f aca="false">IF(Alumnos!A7="","",Alumnos!A7)</f>
        <v>3</v>
      </c>
      <c r="B19" s="22" t="str">
        <f aca="false">IF(Alumnos!B7="","",Alumnos!B7)</f>
        <v/>
      </c>
      <c r="C19" s="7" t="str">
        <f aca="false">IF(Alumnos!D7="","",Alumnos!D7)</f>
        <v/>
      </c>
      <c r="D19" s="7" t="str">
        <f aca="false">IF(Examenes!C7="","",Examenes!C7)</f>
        <v/>
      </c>
      <c r="E19" s="7" t="str">
        <f aca="false">IF(Examenes!D7="","",Examenes!D7)</f>
        <v/>
      </c>
      <c r="F19" s="7" t="str">
        <f aca="false">IF(Examenes!E7="","",Examenes!E7)</f>
        <v/>
      </c>
      <c r="G19" s="19" t="str">
        <f aca="false">IFERROR(SUMIF(Entregables!$B$4:$B$18,$C19,Entregables!$I$4:$I$18)/(COUNTIFS(Entregables!$B$4:$B$18,$C19,Entregables!$I$4:$I$18,"&gt;0")*18)*100,"")</f>
        <v/>
      </c>
      <c r="H19" s="19" t="str">
        <f aca="false">IF(Bitacora_IA!F7="","",Bitacora_IA!F7*10)</f>
        <v/>
      </c>
      <c r="I19" s="19" t="str">
        <f aca="false">IFERROR(Asistencia!Y7*100,"")</f>
        <v/>
      </c>
      <c r="J19" s="23" t="str">
        <f aca="false">IFERROR(IF(COUNT(D19:I19)=0,"",D19*$B$5+E19*$B$6+F19*$B$7+G19*$B$8+H19*$B$9+I19*$B$10),"")</f>
        <v/>
      </c>
      <c r="K19" s="6" t="str">
        <f aca="false">IF(J19="","",ROUND(J19/10,1))</f>
        <v/>
      </c>
      <c r="L19" s="6" t="str">
        <f aca="false">IF(K19="","",IF(K19&gt;=9,"MB",IF(K19&gt;=7.8,"B",IF(K19&gt;=6,"S","NA"))))</f>
        <v/>
      </c>
    </row>
    <row r="20" customFormat="false" ht="15" hidden="false" customHeight="false" outlineLevel="0" collapsed="false">
      <c r="A20" s="7" t="n">
        <f aca="false">IF(Alumnos!A8="","",Alumnos!A8)</f>
        <v>4</v>
      </c>
      <c r="B20" s="22" t="str">
        <f aca="false">IF(Alumnos!B8="","",Alumnos!B8)</f>
        <v/>
      </c>
      <c r="C20" s="7" t="str">
        <f aca="false">IF(Alumnos!D8="","",Alumnos!D8)</f>
        <v/>
      </c>
      <c r="D20" s="7" t="str">
        <f aca="false">IF(Examenes!C8="","",Examenes!C8)</f>
        <v/>
      </c>
      <c r="E20" s="7" t="str">
        <f aca="false">IF(Examenes!D8="","",Examenes!D8)</f>
        <v/>
      </c>
      <c r="F20" s="7" t="str">
        <f aca="false">IF(Examenes!E8="","",Examenes!E8)</f>
        <v/>
      </c>
      <c r="G20" s="19" t="str">
        <f aca="false">IFERROR(SUMIF(Entregables!$B$4:$B$18,$C20,Entregables!$I$4:$I$18)/(COUNTIFS(Entregables!$B$4:$B$18,$C20,Entregables!$I$4:$I$18,"&gt;0")*18)*100,"")</f>
        <v/>
      </c>
      <c r="H20" s="19" t="str">
        <f aca="false">IF(Bitacora_IA!F8="","",Bitacora_IA!F8*10)</f>
        <v/>
      </c>
      <c r="I20" s="19" t="str">
        <f aca="false">IFERROR(Asistencia!Y8*100,"")</f>
        <v/>
      </c>
      <c r="J20" s="23" t="str">
        <f aca="false">IFERROR(IF(COUNT(D20:I20)=0,"",D20*$B$5+E20*$B$6+F20*$B$7+G20*$B$8+H20*$B$9+I20*$B$10),"")</f>
        <v/>
      </c>
      <c r="K20" s="6" t="str">
        <f aca="false">IF(J20="","",ROUND(J20/10,1))</f>
        <v/>
      </c>
      <c r="L20" s="6" t="str">
        <f aca="false">IF(K20="","",IF(K20&gt;=9,"MB",IF(K20&gt;=7.8,"B",IF(K20&gt;=6,"S","NA"))))</f>
        <v/>
      </c>
    </row>
    <row r="21" customFormat="false" ht="15" hidden="false" customHeight="false" outlineLevel="0" collapsed="false">
      <c r="A21" s="7" t="n">
        <f aca="false">IF(Alumnos!A9="","",Alumnos!A9)</f>
        <v>5</v>
      </c>
      <c r="B21" s="22" t="str">
        <f aca="false">IF(Alumnos!B9="","",Alumnos!B9)</f>
        <v/>
      </c>
      <c r="C21" s="7" t="str">
        <f aca="false">IF(Alumnos!D9="","",Alumnos!D9)</f>
        <v/>
      </c>
      <c r="D21" s="7" t="str">
        <f aca="false">IF(Examenes!C9="","",Examenes!C9)</f>
        <v/>
      </c>
      <c r="E21" s="7" t="str">
        <f aca="false">IF(Examenes!D9="","",Examenes!D9)</f>
        <v/>
      </c>
      <c r="F21" s="7" t="str">
        <f aca="false">IF(Examenes!E9="","",Examenes!E9)</f>
        <v/>
      </c>
      <c r="G21" s="19" t="str">
        <f aca="false">IFERROR(SUMIF(Entregables!$B$4:$B$18,$C21,Entregables!$I$4:$I$18)/(COUNTIFS(Entregables!$B$4:$B$18,$C21,Entregables!$I$4:$I$18,"&gt;0")*18)*100,"")</f>
        <v/>
      </c>
      <c r="H21" s="19" t="str">
        <f aca="false">IF(Bitacora_IA!F9="","",Bitacora_IA!F9*10)</f>
        <v/>
      </c>
      <c r="I21" s="19" t="str">
        <f aca="false">IFERROR(Asistencia!Y9*100,"")</f>
        <v/>
      </c>
      <c r="J21" s="23" t="str">
        <f aca="false">IFERROR(IF(COUNT(D21:I21)=0,"",D21*$B$5+E21*$B$6+F21*$B$7+G21*$B$8+H21*$B$9+I21*$B$10),"")</f>
        <v/>
      </c>
      <c r="K21" s="6" t="str">
        <f aca="false">IF(J21="","",ROUND(J21/10,1))</f>
        <v/>
      </c>
      <c r="L21" s="6" t="str">
        <f aca="false">IF(K21="","",IF(K21&gt;=9,"MB",IF(K21&gt;=7.8,"B",IF(K21&gt;=6,"S","NA"))))</f>
        <v/>
      </c>
    </row>
    <row r="22" customFormat="false" ht="15" hidden="false" customHeight="false" outlineLevel="0" collapsed="false">
      <c r="A22" s="7" t="n">
        <f aca="false">IF(Alumnos!A10="","",Alumnos!A10)</f>
        <v>6</v>
      </c>
      <c r="B22" s="22" t="str">
        <f aca="false">IF(Alumnos!B10="","",Alumnos!B10)</f>
        <v/>
      </c>
      <c r="C22" s="7" t="str">
        <f aca="false">IF(Alumnos!D10="","",Alumnos!D10)</f>
        <v/>
      </c>
      <c r="D22" s="7" t="str">
        <f aca="false">IF(Examenes!C10="","",Examenes!C10)</f>
        <v/>
      </c>
      <c r="E22" s="7" t="str">
        <f aca="false">IF(Examenes!D10="","",Examenes!D10)</f>
        <v/>
      </c>
      <c r="F22" s="7" t="str">
        <f aca="false">IF(Examenes!E10="","",Examenes!E10)</f>
        <v/>
      </c>
      <c r="G22" s="19" t="str">
        <f aca="false">IFERROR(SUMIF(Entregables!$B$4:$B$18,$C22,Entregables!$I$4:$I$18)/(COUNTIFS(Entregables!$B$4:$B$18,$C22,Entregables!$I$4:$I$18,"&gt;0")*18)*100,"")</f>
        <v/>
      </c>
      <c r="H22" s="19" t="str">
        <f aca="false">IF(Bitacora_IA!F10="","",Bitacora_IA!F10*10)</f>
        <v/>
      </c>
      <c r="I22" s="19" t="str">
        <f aca="false">IFERROR(Asistencia!Y10*100,"")</f>
        <v/>
      </c>
      <c r="J22" s="23" t="str">
        <f aca="false">IFERROR(IF(COUNT(D22:I22)=0,"",D22*$B$5+E22*$B$6+F22*$B$7+G22*$B$8+H22*$B$9+I22*$B$10),"")</f>
        <v/>
      </c>
      <c r="K22" s="6" t="str">
        <f aca="false">IF(J22="","",ROUND(J22/10,1))</f>
        <v/>
      </c>
      <c r="L22" s="6" t="str">
        <f aca="false">IF(K22="","",IF(K22&gt;=9,"MB",IF(K22&gt;=7.8,"B",IF(K22&gt;=6,"S","NA"))))</f>
        <v/>
      </c>
    </row>
    <row r="23" customFormat="false" ht="15" hidden="false" customHeight="false" outlineLevel="0" collapsed="false">
      <c r="A23" s="7" t="n">
        <f aca="false">IF(Alumnos!A11="","",Alumnos!A11)</f>
        <v>7</v>
      </c>
      <c r="B23" s="22" t="str">
        <f aca="false">IF(Alumnos!B11="","",Alumnos!B11)</f>
        <v/>
      </c>
      <c r="C23" s="7" t="str">
        <f aca="false">IF(Alumnos!D11="","",Alumnos!D11)</f>
        <v/>
      </c>
      <c r="D23" s="7" t="str">
        <f aca="false">IF(Examenes!C11="","",Examenes!C11)</f>
        <v/>
      </c>
      <c r="E23" s="7" t="str">
        <f aca="false">IF(Examenes!D11="","",Examenes!D11)</f>
        <v/>
      </c>
      <c r="F23" s="7" t="str">
        <f aca="false">IF(Examenes!E11="","",Examenes!E11)</f>
        <v/>
      </c>
      <c r="G23" s="19" t="str">
        <f aca="false">IFERROR(SUMIF(Entregables!$B$4:$B$18,$C23,Entregables!$I$4:$I$18)/(COUNTIFS(Entregables!$B$4:$B$18,$C23,Entregables!$I$4:$I$18,"&gt;0")*18)*100,"")</f>
        <v/>
      </c>
      <c r="H23" s="19" t="str">
        <f aca="false">IF(Bitacora_IA!F11="","",Bitacora_IA!F11*10)</f>
        <v/>
      </c>
      <c r="I23" s="19" t="str">
        <f aca="false">IFERROR(Asistencia!Y11*100,"")</f>
        <v/>
      </c>
      <c r="J23" s="23" t="str">
        <f aca="false">IFERROR(IF(COUNT(D23:I23)=0,"",D23*$B$5+E23*$B$6+F23*$B$7+G23*$B$8+H23*$B$9+I23*$B$10),"")</f>
        <v/>
      </c>
      <c r="K23" s="6" t="str">
        <f aca="false">IF(J23="","",ROUND(J23/10,1))</f>
        <v/>
      </c>
      <c r="L23" s="6" t="str">
        <f aca="false">IF(K23="","",IF(K23&gt;=9,"MB",IF(K23&gt;=7.8,"B",IF(K23&gt;=6,"S","NA"))))</f>
        <v/>
      </c>
    </row>
    <row r="24" customFormat="false" ht="15" hidden="false" customHeight="false" outlineLevel="0" collapsed="false">
      <c r="A24" s="7" t="n">
        <f aca="false">IF(Alumnos!A12="","",Alumnos!A12)</f>
        <v>8</v>
      </c>
      <c r="B24" s="22" t="str">
        <f aca="false">IF(Alumnos!B12="","",Alumnos!B12)</f>
        <v/>
      </c>
      <c r="C24" s="7" t="str">
        <f aca="false">IF(Alumnos!D12="","",Alumnos!D12)</f>
        <v/>
      </c>
      <c r="D24" s="7" t="str">
        <f aca="false">IF(Examenes!C12="","",Examenes!C12)</f>
        <v/>
      </c>
      <c r="E24" s="7" t="str">
        <f aca="false">IF(Examenes!D12="","",Examenes!D12)</f>
        <v/>
      </c>
      <c r="F24" s="7" t="str">
        <f aca="false">IF(Examenes!E12="","",Examenes!E12)</f>
        <v/>
      </c>
      <c r="G24" s="19" t="str">
        <f aca="false">IFERROR(SUMIF(Entregables!$B$4:$B$18,$C24,Entregables!$I$4:$I$18)/(COUNTIFS(Entregables!$B$4:$B$18,$C24,Entregables!$I$4:$I$18,"&gt;0")*18)*100,"")</f>
        <v/>
      </c>
      <c r="H24" s="19" t="str">
        <f aca="false">IF(Bitacora_IA!F12="","",Bitacora_IA!F12*10)</f>
        <v/>
      </c>
      <c r="I24" s="19" t="str">
        <f aca="false">IFERROR(Asistencia!Y12*100,"")</f>
        <v/>
      </c>
      <c r="J24" s="23" t="str">
        <f aca="false">IFERROR(IF(COUNT(D24:I24)=0,"",D24*$B$5+E24*$B$6+F24*$B$7+G24*$B$8+H24*$B$9+I24*$B$10),"")</f>
        <v/>
      </c>
      <c r="K24" s="6" t="str">
        <f aca="false">IF(J24="","",ROUND(J24/10,1))</f>
        <v/>
      </c>
      <c r="L24" s="6" t="str">
        <f aca="false">IF(K24="","",IF(K24&gt;=9,"MB",IF(K24&gt;=7.8,"B",IF(K24&gt;=6,"S","NA"))))</f>
        <v/>
      </c>
    </row>
    <row r="25" customFormat="false" ht="15" hidden="false" customHeight="false" outlineLevel="0" collapsed="false">
      <c r="A25" s="7" t="n">
        <f aca="false">IF(Alumnos!A13="","",Alumnos!A13)</f>
        <v>9</v>
      </c>
      <c r="B25" s="22" t="str">
        <f aca="false">IF(Alumnos!B13="","",Alumnos!B13)</f>
        <v/>
      </c>
      <c r="C25" s="7" t="str">
        <f aca="false">IF(Alumnos!D13="","",Alumnos!D13)</f>
        <v/>
      </c>
      <c r="D25" s="7" t="str">
        <f aca="false">IF(Examenes!C13="","",Examenes!C13)</f>
        <v/>
      </c>
      <c r="E25" s="7" t="str">
        <f aca="false">IF(Examenes!D13="","",Examenes!D13)</f>
        <v/>
      </c>
      <c r="F25" s="7" t="str">
        <f aca="false">IF(Examenes!E13="","",Examenes!E13)</f>
        <v/>
      </c>
      <c r="G25" s="19" t="str">
        <f aca="false">IFERROR(SUMIF(Entregables!$B$4:$B$18,$C25,Entregables!$I$4:$I$18)/(COUNTIFS(Entregables!$B$4:$B$18,$C25,Entregables!$I$4:$I$18,"&gt;0")*18)*100,"")</f>
        <v/>
      </c>
      <c r="H25" s="19" t="str">
        <f aca="false">IF(Bitacora_IA!F13="","",Bitacora_IA!F13*10)</f>
        <v/>
      </c>
      <c r="I25" s="19" t="str">
        <f aca="false">IFERROR(Asistencia!Y13*100,"")</f>
        <v/>
      </c>
      <c r="J25" s="23" t="str">
        <f aca="false">IFERROR(IF(COUNT(D25:I25)=0,"",D25*$B$5+E25*$B$6+F25*$B$7+G25*$B$8+H25*$B$9+I25*$B$10),"")</f>
        <v/>
      </c>
      <c r="K25" s="6" t="str">
        <f aca="false">IF(J25="","",ROUND(J25/10,1))</f>
        <v/>
      </c>
      <c r="L25" s="6" t="str">
        <f aca="false">IF(K25="","",IF(K25&gt;=9,"MB",IF(K25&gt;=7.8,"B",IF(K25&gt;=6,"S","NA"))))</f>
        <v/>
      </c>
    </row>
    <row r="26" customFormat="false" ht="15" hidden="false" customHeight="false" outlineLevel="0" collapsed="false">
      <c r="A26" s="7" t="n">
        <f aca="false">IF(Alumnos!A14="","",Alumnos!A14)</f>
        <v>10</v>
      </c>
      <c r="B26" s="22" t="str">
        <f aca="false">IF(Alumnos!B14="","",Alumnos!B14)</f>
        <v/>
      </c>
      <c r="C26" s="7" t="str">
        <f aca="false">IF(Alumnos!D14="","",Alumnos!D14)</f>
        <v/>
      </c>
      <c r="D26" s="7" t="str">
        <f aca="false">IF(Examenes!C14="","",Examenes!C14)</f>
        <v/>
      </c>
      <c r="E26" s="7" t="str">
        <f aca="false">IF(Examenes!D14="","",Examenes!D14)</f>
        <v/>
      </c>
      <c r="F26" s="7" t="str">
        <f aca="false">IF(Examenes!E14="","",Examenes!E14)</f>
        <v/>
      </c>
      <c r="G26" s="19" t="str">
        <f aca="false">IFERROR(SUMIF(Entregables!$B$4:$B$18,$C26,Entregables!$I$4:$I$18)/(COUNTIFS(Entregables!$B$4:$B$18,$C26,Entregables!$I$4:$I$18,"&gt;0")*18)*100,"")</f>
        <v/>
      </c>
      <c r="H26" s="19" t="str">
        <f aca="false">IF(Bitacora_IA!F14="","",Bitacora_IA!F14*10)</f>
        <v/>
      </c>
      <c r="I26" s="19" t="str">
        <f aca="false">IFERROR(Asistencia!Y14*100,"")</f>
        <v/>
      </c>
      <c r="J26" s="23" t="str">
        <f aca="false">IFERROR(IF(COUNT(D26:I26)=0,"",D26*$B$5+E26*$B$6+F26*$B$7+G26*$B$8+H26*$B$9+I26*$B$10),"")</f>
        <v/>
      </c>
      <c r="K26" s="6" t="str">
        <f aca="false">IF(J26="","",ROUND(J26/10,1))</f>
        <v/>
      </c>
      <c r="L26" s="6" t="str">
        <f aca="false">IF(K26="","",IF(K26&gt;=9,"MB",IF(K26&gt;=7.8,"B",IF(K26&gt;=6,"S","NA"))))</f>
        <v/>
      </c>
    </row>
    <row r="27" customFormat="false" ht="15" hidden="false" customHeight="false" outlineLevel="0" collapsed="false">
      <c r="A27" s="7" t="n">
        <f aca="false">IF(Alumnos!A15="","",Alumnos!A15)</f>
        <v>11</v>
      </c>
      <c r="B27" s="22" t="str">
        <f aca="false">IF(Alumnos!B15="","",Alumnos!B15)</f>
        <v/>
      </c>
      <c r="C27" s="7" t="str">
        <f aca="false">IF(Alumnos!D15="","",Alumnos!D15)</f>
        <v/>
      </c>
      <c r="D27" s="7" t="str">
        <f aca="false">IF(Examenes!C15="","",Examenes!C15)</f>
        <v/>
      </c>
      <c r="E27" s="7" t="str">
        <f aca="false">IF(Examenes!D15="","",Examenes!D15)</f>
        <v/>
      </c>
      <c r="F27" s="7" t="str">
        <f aca="false">IF(Examenes!E15="","",Examenes!E15)</f>
        <v/>
      </c>
      <c r="G27" s="19" t="str">
        <f aca="false">IFERROR(SUMIF(Entregables!$B$4:$B$18,$C27,Entregables!$I$4:$I$18)/(COUNTIFS(Entregables!$B$4:$B$18,$C27,Entregables!$I$4:$I$18,"&gt;0")*18)*100,"")</f>
        <v/>
      </c>
      <c r="H27" s="19" t="str">
        <f aca="false">IF(Bitacora_IA!F15="","",Bitacora_IA!F15*10)</f>
        <v/>
      </c>
      <c r="I27" s="19" t="str">
        <f aca="false">IFERROR(Asistencia!Y15*100,"")</f>
        <v/>
      </c>
      <c r="J27" s="23" t="str">
        <f aca="false">IFERROR(IF(COUNT(D27:I27)=0,"",D27*$B$5+E27*$B$6+F27*$B$7+G27*$B$8+H27*$B$9+I27*$B$10),"")</f>
        <v/>
      </c>
      <c r="K27" s="6" t="str">
        <f aca="false">IF(J27="","",ROUND(J27/10,1))</f>
        <v/>
      </c>
      <c r="L27" s="6" t="str">
        <f aca="false">IF(K27="","",IF(K27&gt;=9,"MB",IF(K27&gt;=7.8,"B",IF(K27&gt;=6,"S","NA"))))</f>
        <v/>
      </c>
    </row>
    <row r="28" customFormat="false" ht="15" hidden="false" customHeight="false" outlineLevel="0" collapsed="false">
      <c r="A28" s="7" t="n">
        <f aca="false">IF(Alumnos!A16="","",Alumnos!A16)</f>
        <v>12</v>
      </c>
      <c r="B28" s="22" t="str">
        <f aca="false">IF(Alumnos!B16="","",Alumnos!B16)</f>
        <v/>
      </c>
      <c r="C28" s="7" t="str">
        <f aca="false">IF(Alumnos!D16="","",Alumnos!D16)</f>
        <v/>
      </c>
      <c r="D28" s="7" t="str">
        <f aca="false">IF(Examenes!C16="","",Examenes!C16)</f>
        <v/>
      </c>
      <c r="E28" s="7" t="str">
        <f aca="false">IF(Examenes!D16="","",Examenes!D16)</f>
        <v/>
      </c>
      <c r="F28" s="7" t="str">
        <f aca="false">IF(Examenes!E16="","",Examenes!E16)</f>
        <v/>
      </c>
      <c r="G28" s="19" t="str">
        <f aca="false">IFERROR(SUMIF(Entregables!$B$4:$B$18,$C28,Entregables!$I$4:$I$18)/(COUNTIFS(Entregables!$B$4:$B$18,$C28,Entregables!$I$4:$I$18,"&gt;0")*18)*100,"")</f>
        <v/>
      </c>
      <c r="H28" s="19" t="str">
        <f aca="false">IF(Bitacora_IA!F16="","",Bitacora_IA!F16*10)</f>
        <v/>
      </c>
      <c r="I28" s="19" t="str">
        <f aca="false">IFERROR(Asistencia!Y16*100,"")</f>
        <v/>
      </c>
      <c r="J28" s="23" t="str">
        <f aca="false">IFERROR(IF(COUNT(D28:I28)=0,"",D28*$B$5+E28*$B$6+F28*$B$7+G28*$B$8+H28*$B$9+I28*$B$10),"")</f>
        <v/>
      </c>
      <c r="K28" s="6" t="str">
        <f aca="false">IF(J28="","",ROUND(J28/10,1))</f>
        <v/>
      </c>
      <c r="L28" s="6" t="str">
        <f aca="false">IF(K28="","",IF(K28&gt;=9,"MB",IF(K28&gt;=7.8,"B",IF(K28&gt;=6,"S","NA"))))</f>
        <v/>
      </c>
    </row>
    <row r="29" customFormat="false" ht="15" hidden="false" customHeight="false" outlineLevel="0" collapsed="false">
      <c r="A29" s="7" t="n">
        <f aca="false">IF(Alumnos!A17="","",Alumnos!A17)</f>
        <v>13</v>
      </c>
      <c r="B29" s="22" t="str">
        <f aca="false">IF(Alumnos!B17="","",Alumnos!B17)</f>
        <v/>
      </c>
      <c r="C29" s="7" t="str">
        <f aca="false">IF(Alumnos!D17="","",Alumnos!D17)</f>
        <v/>
      </c>
      <c r="D29" s="7" t="str">
        <f aca="false">IF(Examenes!C17="","",Examenes!C17)</f>
        <v/>
      </c>
      <c r="E29" s="7" t="str">
        <f aca="false">IF(Examenes!D17="","",Examenes!D17)</f>
        <v/>
      </c>
      <c r="F29" s="7" t="str">
        <f aca="false">IF(Examenes!E17="","",Examenes!E17)</f>
        <v/>
      </c>
      <c r="G29" s="19" t="str">
        <f aca="false">IFERROR(SUMIF(Entregables!$B$4:$B$18,$C29,Entregables!$I$4:$I$18)/(COUNTIFS(Entregables!$B$4:$B$18,$C29,Entregables!$I$4:$I$18,"&gt;0")*18)*100,"")</f>
        <v/>
      </c>
      <c r="H29" s="19" t="str">
        <f aca="false">IF(Bitacora_IA!F17="","",Bitacora_IA!F17*10)</f>
        <v/>
      </c>
      <c r="I29" s="19" t="str">
        <f aca="false">IFERROR(Asistencia!Y17*100,"")</f>
        <v/>
      </c>
      <c r="J29" s="23" t="str">
        <f aca="false">IFERROR(IF(COUNT(D29:I29)=0,"",D29*$B$5+E29*$B$6+F29*$B$7+G29*$B$8+H29*$B$9+I29*$B$10),"")</f>
        <v/>
      </c>
      <c r="K29" s="6" t="str">
        <f aca="false">IF(J29="","",ROUND(J29/10,1))</f>
        <v/>
      </c>
      <c r="L29" s="6" t="str">
        <f aca="false">IF(K29="","",IF(K29&gt;=9,"MB",IF(K29&gt;=7.8,"B",IF(K29&gt;=6,"S","NA"))))</f>
        <v/>
      </c>
    </row>
    <row r="30" customFormat="false" ht="15" hidden="false" customHeight="false" outlineLevel="0" collapsed="false">
      <c r="A30" s="7" t="n">
        <f aca="false">IF(Alumnos!A18="","",Alumnos!A18)</f>
        <v>14</v>
      </c>
      <c r="B30" s="22" t="str">
        <f aca="false">IF(Alumnos!B18="","",Alumnos!B18)</f>
        <v/>
      </c>
      <c r="C30" s="7" t="str">
        <f aca="false">IF(Alumnos!D18="","",Alumnos!D18)</f>
        <v/>
      </c>
      <c r="D30" s="7" t="str">
        <f aca="false">IF(Examenes!C18="","",Examenes!C18)</f>
        <v/>
      </c>
      <c r="E30" s="7" t="str">
        <f aca="false">IF(Examenes!D18="","",Examenes!D18)</f>
        <v/>
      </c>
      <c r="F30" s="7" t="str">
        <f aca="false">IF(Examenes!E18="","",Examenes!E18)</f>
        <v/>
      </c>
      <c r="G30" s="19" t="str">
        <f aca="false">IFERROR(SUMIF(Entregables!$B$4:$B$18,$C30,Entregables!$I$4:$I$18)/(COUNTIFS(Entregables!$B$4:$B$18,$C30,Entregables!$I$4:$I$18,"&gt;0")*18)*100,"")</f>
        <v/>
      </c>
      <c r="H30" s="19" t="str">
        <f aca="false">IF(Bitacora_IA!F18="","",Bitacora_IA!F18*10)</f>
        <v/>
      </c>
      <c r="I30" s="19" t="str">
        <f aca="false">IFERROR(Asistencia!Y18*100,"")</f>
        <v/>
      </c>
      <c r="J30" s="23" t="str">
        <f aca="false">IFERROR(IF(COUNT(D30:I30)=0,"",D30*$B$5+E30*$B$6+F30*$B$7+G30*$B$8+H30*$B$9+I30*$B$10),"")</f>
        <v/>
      </c>
      <c r="K30" s="6" t="str">
        <f aca="false">IF(J30="","",ROUND(J30/10,1))</f>
        <v/>
      </c>
      <c r="L30" s="6" t="str">
        <f aca="false">IF(K30="","",IF(K30&gt;=9,"MB",IF(K30&gt;=7.8,"B",IF(K30&gt;=6,"S","NA"))))</f>
        <v/>
      </c>
    </row>
    <row r="31" customFormat="false" ht="15" hidden="false" customHeight="false" outlineLevel="0" collapsed="false">
      <c r="A31" s="7" t="n">
        <f aca="false">IF(Alumnos!A19="","",Alumnos!A19)</f>
        <v>15</v>
      </c>
      <c r="B31" s="22" t="str">
        <f aca="false">IF(Alumnos!B19="","",Alumnos!B19)</f>
        <v/>
      </c>
      <c r="C31" s="7" t="str">
        <f aca="false">IF(Alumnos!D19="","",Alumnos!D19)</f>
        <v/>
      </c>
      <c r="D31" s="7" t="str">
        <f aca="false">IF(Examenes!C19="","",Examenes!C19)</f>
        <v/>
      </c>
      <c r="E31" s="7" t="str">
        <f aca="false">IF(Examenes!D19="","",Examenes!D19)</f>
        <v/>
      </c>
      <c r="F31" s="7" t="str">
        <f aca="false">IF(Examenes!E19="","",Examenes!E19)</f>
        <v/>
      </c>
      <c r="G31" s="19" t="str">
        <f aca="false">IFERROR(SUMIF(Entregables!$B$4:$B$18,$C31,Entregables!$I$4:$I$18)/(COUNTIFS(Entregables!$B$4:$B$18,$C31,Entregables!$I$4:$I$18,"&gt;0")*18)*100,"")</f>
        <v/>
      </c>
      <c r="H31" s="19" t="str">
        <f aca="false">IF(Bitacora_IA!F19="","",Bitacora_IA!F19*10)</f>
        <v/>
      </c>
      <c r="I31" s="19" t="str">
        <f aca="false">IFERROR(Asistencia!Y19*100,"")</f>
        <v/>
      </c>
      <c r="J31" s="23" t="str">
        <f aca="false">IFERROR(IF(COUNT(D31:I31)=0,"",D31*$B$5+E31*$B$6+F31*$B$7+G31*$B$8+H31*$B$9+I31*$B$10),"")</f>
        <v/>
      </c>
      <c r="K31" s="6" t="str">
        <f aca="false">IF(J31="","",ROUND(J31/10,1))</f>
        <v/>
      </c>
      <c r="L31" s="6" t="str">
        <f aca="false">IF(K31="","",IF(K31&gt;=9,"MB",IF(K31&gt;=7.8,"B",IF(K31&gt;=6,"S","NA"))))</f>
        <v/>
      </c>
    </row>
    <row r="32" customFormat="false" ht="15" hidden="false" customHeight="false" outlineLevel="0" collapsed="false">
      <c r="A32" s="7" t="n">
        <f aca="false">IF(Alumnos!A20="","",Alumnos!A20)</f>
        <v>16</v>
      </c>
      <c r="B32" s="22" t="str">
        <f aca="false">IF(Alumnos!B20="","",Alumnos!B20)</f>
        <v/>
      </c>
      <c r="C32" s="7" t="str">
        <f aca="false">IF(Alumnos!D20="","",Alumnos!D20)</f>
        <v/>
      </c>
      <c r="D32" s="7" t="str">
        <f aca="false">IF(Examenes!C20="","",Examenes!C20)</f>
        <v/>
      </c>
      <c r="E32" s="7" t="str">
        <f aca="false">IF(Examenes!D20="","",Examenes!D20)</f>
        <v/>
      </c>
      <c r="F32" s="7" t="str">
        <f aca="false">IF(Examenes!E20="","",Examenes!E20)</f>
        <v/>
      </c>
      <c r="G32" s="19" t="str">
        <f aca="false">IFERROR(SUMIF(Entregables!$B$4:$B$18,$C32,Entregables!$I$4:$I$18)/(COUNTIFS(Entregables!$B$4:$B$18,$C32,Entregables!$I$4:$I$18,"&gt;0")*18)*100,"")</f>
        <v/>
      </c>
      <c r="H32" s="19" t="str">
        <f aca="false">IF(Bitacora_IA!F20="","",Bitacora_IA!F20*10)</f>
        <v/>
      </c>
      <c r="I32" s="19" t="str">
        <f aca="false">IFERROR(Asistencia!Y20*100,"")</f>
        <v/>
      </c>
      <c r="J32" s="23" t="str">
        <f aca="false">IFERROR(IF(COUNT(D32:I32)=0,"",D32*$B$5+E32*$B$6+F32*$B$7+G32*$B$8+H32*$B$9+I32*$B$10),"")</f>
        <v/>
      </c>
      <c r="K32" s="6" t="str">
        <f aca="false">IF(J32="","",ROUND(J32/10,1))</f>
        <v/>
      </c>
      <c r="L32" s="6" t="str">
        <f aca="false">IF(K32="","",IF(K32&gt;=9,"MB",IF(K32&gt;=7.8,"B",IF(K32&gt;=6,"S","NA"))))</f>
        <v/>
      </c>
    </row>
    <row r="33" customFormat="false" ht="15" hidden="false" customHeight="false" outlineLevel="0" collapsed="false">
      <c r="A33" s="7" t="n">
        <f aca="false">IF(Alumnos!A21="","",Alumnos!A21)</f>
        <v>17</v>
      </c>
      <c r="B33" s="22" t="str">
        <f aca="false">IF(Alumnos!B21="","",Alumnos!B21)</f>
        <v/>
      </c>
      <c r="C33" s="7" t="str">
        <f aca="false">IF(Alumnos!D21="","",Alumnos!D21)</f>
        <v/>
      </c>
      <c r="D33" s="7" t="str">
        <f aca="false">IF(Examenes!C21="","",Examenes!C21)</f>
        <v/>
      </c>
      <c r="E33" s="7" t="str">
        <f aca="false">IF(Examenes!D21="","",Examenes!D21)</f>
        <v/>
      </c>
      <c r="F33" s="7" t="str">
        <f aca="false">IF(Examenes!E21="","",Examenes!E21)</f>
        <v/>
      </c>
      <c r="G33" s="19" t="str">
        <f aca="false">IFERROR(SUMIF(Entregables!$B$4:$B$18,$C33,Entregables!$I$4:$I$18)/(COUNTIFS(Entregables!$B$4:$B$18,$C33,Entregables!$I$4:$I$18,"&gt;0")*18)*100,"")</f>
        <v/>
      </c>
      <c r="H33" s="19" t="str">
        <f aca="false">IF(Bitacora_IA!F21="","",Bitacora_IA!F21*10)</f>
        <v/>
      </c>
      <c r="I33" s="19" t="str">
        <f aca="false">IFERROR(Asistencia!Y21*100,"")</f>
        <v/>
      </c>
      <c r="J33" s="23" t="str">
        <f aca="false">IFERROR(IF(COUNT(D33:I33)=0,"",D33*$B$5+E33*$B$6+F33*$B$7+G33*$B$8+H33*$B$9+I33*$B$10),"")</f>
        <v/>
      </c>
      <c r="K33" s="6" t="str">
        <f aca="false">IF(J33="","",ROUND(J33/10,1))</f>
        <v/>
      </c>
      <c r="L33" s="6" t="str">
        <f aca="false">IF(K33="","",IF(K33&gt;=9,"MB",IF(K33&gt;=7.8,"B",IF(K33&gt;=6,"S","NA"))))</f>
        <v/>
      </c>
    </row>
    <row r="34" customFormat="false" ht="15" hidden="false" customHeight="false" outlineLevel="0" collapsed="false">
      <c r="A34" s="7" t="n">
        <f aca="false">IF(Alumnos!A22="","",Alumnos!A22)</f>
        <v>18</v>
      </c>
      <c r="B34" s="22" t="str">
        <f aca="false">IF(Alumnos!B22="","",Alumnos!B22)</f>
        <v/>
      </c>
      <c r="C34" s="7" t="str">
        <f aca="false">IF(Alumnos!D22="","",Alumnos!D22)</f>
        <v/>
      </c>
      <c r="D34" s="7" t="str">
        <f aca="false">IF(Examenes!C22="","",Examenes!C22)</f>
        <v/>
      </c>
      <c r="E34" s="7" t="str">
        <f aca="false">IF(Examenes!D22="","",Examenes!D22)</f>
        <v/>
      </c>
      <c r="F34" s="7" t="str">
        <f aca="false">IF(Examenes!E22="","",Examenes!E22)</f>
        <v/>
      </c>
      <c r="G34" s="19" t="str">
        <f aca="false">IFERROR(SUMIF(Entregables!$B$4:$B$18,$C34,Entregables!$I$4:$I$18)/(COUNTIFS(Entregables!$B$4:$B$18,$C34,Entregables!$I$4:$I$18,"&gt;0")*18)*100,"")</f>
        <v/>
      </c>
      <c r="H34" s="19" t="str">
        <f aca="false">IF(Bitacora_IA!F22="","",Bitacora_IA!F22*10)</f>
        <v/>
      </c>
      <c r="I34" s="19" t="str">
        <f aca="false">IFERROR(Asistencia!Y22*100,"")</f>
        <v/>
      </c>
      <c r="J34" s="23" t="str">
        <f aca="false">IFERROR(IF(COUNT(D34:I34)=0,"",D34*$B$5+E34*$B$6+F34*$B$7+G34*$B$8+H34*$B$9+I34*$B$10),"")</f>
        <v/>
      </c>
      <c r="K34" s="6" t="str">
        <f aca="false">IF(J34="","",ROUND(J34/10,1))</f>
        <v/>
      </c>
      <c r="L34" s="6" t="str">
        <f aca="false">IF(K34="","",IF(K34&gt;=9,"MB",IF(K34&gt;=7.8,"B",IF(K34&gt;=6,"S","NA"))))</f>
        <v/>
      </c>
    </row>
    <row r="35" customFormat="false" ht="15" hidden="false" customHeight="false" outlineLevel="0" collapsed="false">
      <c r="A35" s="7" t="n">
        <f aca="false">IF(Alumnos!A23="","",Alumnos!A23)</f>
        <v>19</v>
      </c>
      <c r="B35" s="22" t="str">
        <f aca="false">IF(Alumnos!B23="","",Alumnos!B23)</f>
        <v/>
      </c>
      <c r="C35" s="7" t="str">
        <f aca="false">IF(Alumnos!D23="","",Alumnos!D23)</f>
        <v/>
      </c>
      <c r="D35" s="7" t="str">
        <f aca="false">IF(Examenes!C23="","",Examenes!C23)</f>
        <v/>
      </c>
      <c r="E35" s="7" t="str">
        <f aca="false">IF(Examenes!D23="","",Examenes!D23)</f>
        <v/>
      </c>
      <c r="F35" s="7" t="str">
        <f aca="false">IF(Examenes!E23="","",Examenes!E23)</f>
        <v/>
      </c>
      <c r="G35" s="19" t="str">
        <f aca="false">IFERROR(SUMIF(Entregables!$B$4:$B$18,$C35,Entregables!$I$4:$I$18)/(COUNTIFS(Entregables!$B$4:$B$18,$C35,Entregables!$I$4:$I$18,"&gt;0")*18)*100,"")</f>
        <v/>
      </c>
      <c r="H35" s="19" t="str">
        <f aca="false">IF(Bitacora_IA!F23="","",Bitacora_IA!F23*10)</f>
        <v/>
      </c>
      <c r="I35" s="19" t="str">
        <f aca="false">IFERROR(Asistencia!Y23*100,"")</f>
        <v/>
      </c>
      <c r="J35" s="23" t="str">
        <f aca="false">IFERROR(IF(COUNT(D35:I35)=0,"",D35*$B$5+E35*$B$6+F35*$B$7+G35*$B$8+H35*$B$9+I35*$B$10),"")</f>
        <v/>
      </c>
      <c r="K35" s="6" t="str">
        <f aca="false">IF(J35="","",ROUND(J35/10,1))</f>
        <v/>
      </c>
      <c r="L35" s="6" t="str">
        <f aca="false">IF(K35="","",IF(K35&gt;=9,"MB",IF(K35&gt;=7.8,"B",IF(K35&gt;=6,"S","NA"))))</f>
        <v/>
      </c>
    </row>
    <row r="36" customFormat="false" ht="15" hidden="false" customHeight="false" outlineLevel="0" collapsed="false">
      <c r="A36" s="7" t="n">
        <f aca="false">IF(Alumnos!A24="","",Alumnos!A24)</f>
        <v>20</v>
      </c>
      <c r="B36" s="22" t="str">
        <f aca="false">IF(Alumnos!B24="","",Alumnos!B24)</f>
        <v/>
      </c>
      <c r="C36" s="7" t="str">
        <f aca="false">IF(Alumnos!D24="","",Alumnos!D24)</f>
        <v/>
      </c>
      <c r="D36" s="7" t="str">
        <f aca="false">IF(Examenes!C24="","",Examenes!C24)</f>
        <v/>
      </c>
      <c r="E36" s="7" t="str">
        <f aca="false">IF(Examenes!D24="","",Examenes!D24)</f>
        <v/>
      </c>
      <c r="F36" s="7" t="str">
        <f aca="false">IF(Examenes!E24="","",Examenes!E24)</f>
        <v/>
      </c>
      <c r="G36" s="19" t="str">
        <f aca="false">IFERROR(SUMIF(Entregables!$B$4:$B$18,$C36,Entregables!$I$4:$I$18)/(COUNTIFS(Entregables!$B$4:$B$18,$C36,Entregables!$I$4:$I$18,"&gt;0")*18)*100,"")</f>
        <v/>
      </c>
      <c r="H36" s="19" t="str">
        <f aca="false">IF(Bitacora_IA!F24="","",Bitacora_IA!F24*10)</f>
        <v/>
      </c>
      <c r="I36" s="19" t="str">
        <f aca="false">IFERROR(Asistencia!Y24*100,"")</f>
        <v/>
      </c>
      <c r="J36" s="23" t="str">
        <f aca="false">IFERROR(IF(COUNT(D36:I36)=0,"",D36*$B$5+E36*$B$6+F36*$B$7+G36*$B$8+H36*$B$9+I36*$B$10),"")</f>
        <v/>
      </c>
      <c r="K36" s="6" t="str">
        <f aca="false">IF(J36="","",ROUND(J36/10,1))</f>
        <v/>
      </c>
      <c r="L36" s="6" t="str">
        <f aca="false">IF(K36="","",IF(K36&gt;=9,"MB",IF(K36&gt;=7.8,"B",IF(K36&gt;=6,"S","NA"))))</f>
        <v/>
      </c>
    </row>
    <row r="37" customFormat="false" ht="15" hidden="false" customHeight="false" outlineLevel="0" collapsed="false">
      <c r="A37" s="7" t="n">
        <f aca="false">IF(Alumnos!A25="","",Alumnos!A25)</f>
        <v>21</v>
      </c>
      <c r="B37" s="22" t="str">
        <f aca="false">IF(Alumnos!B25="","",Alumnos!B25)</f>
        <v/>
      </c>
      <c r="C37" s="7" t="str">
        <f aca="false">IF(Alumnos!D25="","",Alumnos!D25)</f>
        <v/>
      </c>
      <c r="D37" s="7" t="str">
        <f aca="false">IF(Examenes!C25="","",Examenes!C25)</f>
        <v/>
      </c>
      <c r="E37" s="7" t="str">
        <f aca="false">IF(Examenes!D25="","",Examenes!D25)</f>
        <v/>
      </c>
      <c r="F37" s="7" t="str">
        <f aca="false">IF(Examenes!E25="","",Examenes!E25)</f>
        <v/>
      </c>
      <c r="G37" s="19" t="str">
        <f aca="false">IFERROR(SUMIF(Entregables!$B$4:$B$18,$C37,Entregables!$I$4:$I$18)/(COUNTIFS(Entregables!$B$4:$B$18,$C37,Entregables!$I$4:$I$18,"&gt;0")*18)*100,"")</f>
        <v/>
      </c>
      <c r="H37" s="19" t="str">
        <f aca="false">IF(Bitacora_IA!F25="","",Bitacora_IA!F25*10)</f>
        <v/>
      </c>
      <c r="I37" s="19" t="str">
        <f aca="false">IFERROR(Asistencia!Y25*100,"")</f>
        <v/>
      </c>
      <c r="J37" s="23" t="str">
        <f aca="false">IFERROR(IF(COUNT(D37:I37)=0,"",D37*$B$5+E37*$B$6+F37*$B$7+G37*$B$8+H37*$B$9+I37*$B$10),"")</f>
        <v/>
      </c>
      <c r="K37" s="6" t="str">
        <f aca="false">IF(J37="","",ROUND(J37/10,1))</f>
        <v/>
      </c>
      <c r="L37" s="6" t="str">
        <f aca="false">IF(K37="","",IF(K37&gt;=9,"MB",IF(K37&gt;=7.8,"B",IF(K37&gt;=6,"S","NA"))))</f>
        <v/>
      </c>
    </row>
    <row r="38" customFormat="false" ht="15" hidden="false" customHeight="false" outlineLevel="0" collapsed="false">
      <c r="A38" s="7" t="n">
        <f aca="false">IF(Alumnos!A26="","",Alumnos!A26)</f>
        <v>22</v>
      </c>
      <c r="B38" s="22" t="str">
        <f aca="false">IF(Alumnos!B26="","",Alumnos!B26)</f>
        <v/>
      </c>
      <c r="C38" s="7" t="str">
        <f aca="false">IF(Alumnos!D26="","",Alumnos!D26)</f>
        <v/>
      </c>
      <c r="D38" s="7" t="str">
        <f aca="false">IF(Examenes!C26="","",Examenes!C26)</f>
        <v/>
      </c>
      <c r="E38" s="7" t="str">
        <f aca="false">IF(Examenes!D26="","",Examenes!D26)</f>
        <v/>
      </c>
      <c r="F38" s="7" t="str">
        <f aca="false">IF(Examenes!E26="","",Examenes!E26)</f>
        <v/>
      </c>
      <c r="G38" s="19" t="str">
        <f aca="false">IFERROR(SUMIF(Entregables!$B$4:$B$18,$C38,Entregables!$I$4:$I$18)/(COUNTIFS(Entregables!$B$4:$B$18,$C38,Entregables!$I$4:$I$18,"&gt;0")*18)*100,"")</f>
        <v/>
      </c>
      <c r="H38" s="19" t="str">
        <f aca="false">IF(Bitacora_IA!F26="","",Bitacora_IA!F26*10)</f>
        <v/>
      </c>
      <c r="I38" s="19" t="str">
        <f aca="false">IFERROR(Asistencia!Y26*100,"")</f>
        <v/>
      </c>
      <c r="J38" s="23" t="str">
        <f aca="false">IFERROR(IF(COUNT(D38:I38)=0,"",D38*$B$5+E38*$B$6+F38*$B$7+G38*$B$8+H38*$B$9+I38*$B$10),"")</f>
        <v/>
      </c>
      <c r="K38" s="6" t="str">
        <f aca="false">IF(J38="","",ROUND(J38/10,1))</f>
        <v/>
      </c>
      <c r="L38" s="6" t="str">
        <f aca="false">IF(K38="","",IF(K38&gt;=9,"MB",IF(K38&gt;=7.8,"B",IF(K38&gt;=6,"S","NA"))))</f>
        <v/>
      </c>
    </row>
    <row r="39" customFormat="false" ht="15" hidden="false" customHeight="false" outlineLevel="0" collapsed="false">
      <c r="A39" s="7" t="n">
        <f aca="false">IF(Alumnos!A27="","",Alumnos!A27)</f>
        <v>23</v>
      </c>
      <c r="B39" s="22" t="str">
        <f aca="false">IF(Alumnos!B27="","",Alumnos!B27)</f>
        <v/>
      </c>
      <c r="C39" s="7" t="str">
        <f aca="false">IF(Alumnos!D27="","",Alumnos!D27)</f>
        <v/>
      </c>
      <c r="D39" s="7" t="str">
        <f aca="false">IF(Examenes!C27="","",Examenes!C27)</f>
        <v/>
      </c>
      <c r="E39" s="7" t="str">
        <f aca="false">IF(Examenes!D27="","",Examenes!D27)</f>
        <v/>
      </c>
      <c r="F39" s="7" t="str">
        <f aca="false">IF(Examenes!E27="","",Examenes!E27)</f>
        <v/>
      </c>
      <c r="G39" s="19" t="str">
        <f aca="false">IFERROR(SUMIF(Entregables!$B$4:$B$18,$C39,Entregables!$I$4:$I$18)/(COUNTIFS(Entregables!$B$4:$B$18,$C39,Entregables!$I$4:$I$18,"&gt;0")*18)*100,"")</f>
        <v/>
      </c>
      <c r="H39" s="19" t="str">
        <f aca="false">IF(Bitacora_IA!F27="","",Bitacora_IA!F27*10)</f>
        <v/>
      </c>
      <c r="I39" s="19" t="str">
        <f aca="false">IFERROR(Asistencia!Y27*100,"")</f>
        <v/>
      </c>
      <c r="J39" s="23" t="str">
        <f aca="false">IFERROR(IF(COUNT(D39:I39)=0,"",D39*$B$5+E39*$B$6+F39*$B$7+G39*$B$8+H39*$B$9+I39*$B$10),"")</f>
        <v/>
      </c>
      <c r="K39" s="6" t="str">
        <f aca="false">IF(J39="","",ROUND(J39/10,1))</f>
        <v/>
      </c>
      <c r="L39" s="6" t="str">
        <f aca="false">IF(K39="","",IF(K39&gt;=9,"MB",IF(K39&gt;=7.8,"B",IF(K39&gt;=6,"S","NA"))))</f>
        <v/>
      </c>
    </row>
    <row r="40" customFormat="false" ht="15" hidden="false" customHeight="false" outlineLevel="0" collapsed="false">
      <c r="A40" s="7" t="n">
        <f aca="false">IF(Alumnos!A28="","",Alumnos!A28)</f>
        <v>24</v>
      </c>
      <c r="B40" s="22" t="str">
        <f aca="false">IF(Alumnos!B28="","",Alumnos!B28)</f>
        <v/>
      </c>
      <c r="C40" s="7" t="str">
        <f aca="false">IF(Alumnos!D28="","",Alumnos!D28)</f>
        <v/>
      </c>
      <c r="D40" s="7" t="str">
        <f aca="false">IF(Examenes!C28="","",Examenes!C28)</f>
        <v/>
      </c>
      <c r="E40" s="7" t="str">
        <f aca="false">IF(Examenes!D28="","",Examenes!D28)</f>
        <v/>
      </c>
      <c r="F40" s="7" t="str">
        <f aca="false">IF(Examenes!E28="","",Examenes!E28)</f>
        <v/>
      </c>
      <c r="G40" s="19" t="str">
        <f aca="false">IFERROR(SUMIF(Entregables!$B$4:$B$18,$C40,Entregables!$I$4:$I$18)/(COUNTIFS(Entregables!$B$4:$B$18,$C40,Entregables!$I$4:$I$18,"&gt;0")*18)*100,"")</f>
        <v/>
      </c>
      <c r="H40" s="19" t="str">
        <f aca="false">IF(Bitacora_IA!F28="","",Bitacora_IA!F28*10)</f>
        <v/>
      </c>
      <c r="I40" s="19" t="str">
        <f aca="false">IFERROR(Asistencia!Y28*100,"")</f>
        <v/>
      </c>
      <c r="J40" s="23" t="str">
        <f aca="false">IFERROR(IF(COUNT(D40:I40)=0,"",D40*$B$5+E40*$B$6+F40*$B$7+G40*$B$8+H40*$B$9+I40*$B$10),"")</f>
        <v/>
      </c>
      <c r="K40" s="6" t="str">
        <f aca="false">IF(J40="","",ROUND(J40/10,1))</f>
        <v/>
      </c>
      <c r="L40" s="6" t="str">
        <f aca="false">IF(K40="","",IF(K40&gt;=9,"MB",IF(K40&gt;=7.8,"B",IF(K40&gt;=6,"S","NA"))))</f>
        <v/>
      </c>
    </row>
    <row r="41" customFormat="false" ht="15" hidden="false" customHeight="false" outlineLevel="0" collapsed="false">
      <c r="A41" s="7" t="n">
        <f aca="false">IF(Alumnos!A29="","",Alumnos!A29)</f>
        <v>25</v>
      </c>
      <c r="B41" s="22" t="str">
        <f aca="false">IF(Alumnos!B29="","",Alumnos!B29)</f>
        <v/>
      </c>
      <c r="C41" s="7" t="str">
        <f aca="false">IF(Alumnos!D29="","",Alumnos!D29)</f>
        <v/>
      </c>
      <c r="D41" s="7" t="str">
        <f aca="false">IF(Examenes!C29="","",Examenes!C29)</f>
        <v/>
      </c>
      <c r="E41" s="7" t="str">
        <f aca="false">IF(Examenes!D29="","",Examenes!D29)</f>
        <v/>
      </c>
      <c r="F41" s="7" t="str">
        <f aca="false">IF(Examenes!E29="","",Examenes!E29)</f>
        <v/>
      </c>
      <c r="G41" s="19" t="str">
        <f aca="false">IFERROR(SUMIF(Entregables!$B$4:$B$18,$C41,Entregables!$I$4:$I$18)/(COUNTIFS(Entregables!$B$4:$B$18,$C41,Entregables!$I$4:$I$18,"&gt;0")*18)*100,"")</f>
        <v/>
      </c>
      <c r="H41" s="19" t="str">
        <f aca="false">IF(Bitacora_IA!F29="","",Bitacora_IA!F29*10)</f>
        <v/>
      </c>
      <c r="I41" s="19" t="str">
        <f aca="false">IFERROR(Asistencia!Y29*100,"")</f>
        <v/>
      </c>
      <c r="J41" s="23" t="str">
        <f aca="false">IFERROR(IF(COUNT(D41:I41)=0,"",D41*$B$5+E41*$B$6+F41*$B$7+G41*$B$8+H41*$B$9+I41*$B$10),"")</f>
        <v/>
      </c>
      <c r="K41" s="6" t="str">
        <f aca="false">IF(J41="","",ROUND(J41/10,1))</f>
        <v/>
      </c>
      <c r="L41" s="6" t="str">
        <f aca="false">IF(K41="","",IF(K41&gt;=9,"MB",IF(K41&gt;=7.8,"B",IF(K41&gt;=6,"S","NA"))))</f>
        <v/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1" t="s">
        <v>193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9" t="s">
        <v>194</v>
      </c>
    </row>
    <row r="4" customFormat="false" ht="15" hidden="false" customHeight="false" outlineLevel="0" collapsed="false">
      <c r="A4" s="17" t="s">
        <v>195</v>
      </c>
      <c r="B4" s="24" t="n">
        <v>2</v>
      </c>
    </row>
    <row r="5" customFormat="false" ht="15" hidden="false" customHeight="false" outlineLevel="0" collapsed="false">
      <c r="A5" s="17" t="s">
        <v>196</v>
      </c>
      <c r="B5" s="24" t="n">
        <v>4</v>
      </c>
    </row>
    <row r="7" customFormat="false" ht="30" hidden="false" customHeight="true" outlineLevel="0" collapsed="false">
      <c r="A7" s="5" t="s">
        <v>71</v>
      </c>
      <c r="B7" s="5" t="s">
        <v>119</v>
      </c>
      <c r="C7" s="5" t="s">
        <v>89</v>
      </c>
      <c r="D7" s="5" t="s">
        <v>88</v>
      </c>
      <c r="E7" s="5" t="s">
        <v>140</v>
      </c>
      <c r="F7" s="5" t="s">
        <v>197</v>
      </c>
      <c r="G7" s="5" t="s">
        <v>198</v>
      </c>
      <c r="H7" s="5" t="s">
        <v>199</v>
      </c>
      <c r="I7" s="5" t="s">
        <v>200</v>
      </c>
    </row>
    <row r="8" customFormat="false" ht="15" hidden="false" customHeight="false" outlineLevel="0" collapsed="false">
      <c r="A8" s="7" t="n">
        <f aca="false">IF(Alumnos!A4="","",Alumnos!A4)</f>
        <v>1</v>
      </c>
      <c r="B8" s="22" t="str">
        <f aca="false">IF(Alumnos!B4="","",Alumnos!B4)</f>
        <v>EJEMPLO — borrar esta fila</v>
      </c>
      <c r="C8" s="7" t="str">
        <f aca="false">IF(Alumnos!S4="","",Alumnos!S4)</f>
        <v>Sí</v>
      </c>
      <c r="D8" s="7" t="str">
        <f aca="false">IF(Alumnos!R4="","",Alumnos!R4)</f>
        <v>Funcional</v>
      </c>
      <c r="E8" s="7" t="n">
        <f aca="false">Asistencia!W4</f>
        <v>0</v>
      </c>
      <c r="F8" s="7" t="n">
        <f aca="false">3-COUNT(Bitacora_IA!C4:E4)</f>
        <v>3</v>
      </c>
      <c r="G8" s="7" t="str">
        <f aca="false">IF(Calificaciones!K16="","",Calificaciones!K16)</f>
        <v/>
      </c>
      <c r="H8" s="6" t="str">
        <f aca="false">IF(B8="","",IF(OR(E8&gt;=$B$5,AND(C8="No",E8&gt;=$B$4)),"ROJO",IF(OR(E8&gt;=$B$4,D8="Elemental",C8="No"),"ÁMBAR","VERDE")))</f>
        <v>VERDE</v>
      </c>
      <c r="I8" s="14"/>
    </row>
    <row r="9" customFormat="false" ht="15" hidden="false" customHeight="false" outlineLevel="0" collapsed="false">
      <c r="A9" s="7" t="n">
        <f aca="false">IF(Alumnos!A5="","",Alumnos!A5)</f>
        <v>1</v>
      </c>
      <c r="B9" s="22" t="str">
        <f aca="false">IF(Alumnos!B5="","",Alumnos!B5)</f>
        <v/>
      </c>
      <c r="C9" s="7" t="str">
        <f aca="false">IF(Alumnos!S5="","",Alumnos!S5)</f>
        <v/>
      </c>
      <c r="D9" s="7" t="str">
        <f aca="false">IF(Alumnos!R5="","",Alumnos!R5)</f>
        <v/>
      </c>
      <c r="E9" s="7" t="n">
        <f aca="false">Asistencia!W5</f>
        <v>0</v>
      </c>
      <c r="F9" s="7" t="n">
        <f aca="false">3-COUNT(Bitacora_IA!C5:E5)</f>
        <v>3</v>
      </c>
      <c r="G9" s="7" t="str">
        <f aca="false">IF(Calificaciones!K17="","",Calificaciones!K17)</f>
        <v/>
      </c>
      <c r="H9" s="6" t="str">
        <f aca="false">IF(B9="","",IF(OR(E9&gt;=$B$5,AND(C9="No",E9&gt;=$B$4)),"ROJO",IF(OR(E9&gt;=$B$4,D9="Elemental",C9="No"),"ÁMBAR","VERDE")))</f>
        <v/>
      </c>
      <c r="I9" s="14"/>
    </row>
    <row r="10" customFormat="false" ht="15" hidden="false" customHeight="false" outlineLevel="0" collapsed="false">
      <c r="A10" s="7" t="n">
        <f aca="false">IF(Alumnos!A6="","",Alumnos!A6)</f>
        <v>2</v>
      </c>
      <c r="B10" s="22" t="str">
        <f aca="false">IF(Alumnos!B6="","",Alumnos!B6)</f>
        <v/>
      </c>
      <c r="C10" s="7" t="str">
        <f aca="false">IF(Alumnos!S6="","",Alumnos!S6)</f>
        <v/>
      </c>
      <c r="D10" s="7" t="str">
        <f aca="false">IF(Alumnos!R6="","",Alumnos!R6)</f>
        <v/>
      </c>
      <c r="E10" s="7" t="n">
        <f aca="false">Asistencia!W6</f>
        <v>0</v>
      </c>
      <c r="F10" s="7" t="n">
        <f aca="false">3-COUNT(Bitacora_IA!C6:E6)</f>
        <v>3</v>
      </c>
      <c r="G10" s="7" t="str">
        <f aca="false">IF(Calificaciones!K18="","",Calificaciones!K18)</f>
        <v/>
      </c>
      <c r="H10" s="6" t="str">
        <f aca="false">IF(B10="","",IF(OR(E10&gt;=$B$5,AND(C10="No",E10&gt;=$B$4)),"ROJO",IF(OR(E10&gt;=$B$4,D10="Elemental",C10="No"),"ÁMBAR","VERDE")))</f>
        <v/>
      </c>
      <c r="I10" s="14"/>
    </row>
    <row r="11" customFormat="false" ht="15" hidden="false" customHeight="false" outlineLevel="0" collapsed="false">
      <c r="A11" s="7" t="n">
        <f aca="false">IF(Alumnos!A7="","",Alumnos!A7)</f>
        <v>3</v>
      </c>
      <c r="B11" s="22" t="str">
        <f aca="false">IF(Alumnos!B7="","",Alumnos!B7)</f>
        <v/>
      </c>
      <c r="C11" s="7" t="str">
        <f aca="false">IF(Alumnos!S7="","",Alumnos!S7)</f>
        <v/>
      </c>
      <c r="D11" s="7" t="str">
        <f aca="false">IF(Alumnos!R7="","",Alumnos!R7)</f>
        <v/>
      </c>
      <c r="E11" s="7" t="n">
        <f aca="false">Asistencia!W7</f>
        <v>0</v>
      </c>
      <c r="F11" s="7" t="n">
        <f aca="false">3-COUNT(Bitacora_IA!C7:E7)</f>
        <v>3</v>
      </c>
      <c r="G11" s="7" t="str">
        <f aca="false">IF(Calificaciones!K19="","",Calificaciones!K19)</f>
        <v/>
      </c>
      <c r="H11" s="6" t="str">
        <f aca="false">IF(B11="","",IF(OR(E11&gt;=$B$5,AND(C11="No",E11&gt;=$B$4)),"ROJO",IF(OR(E11&gt;=$B$4,D11="Elemental",C11="No"),"ÁMBAR","VERDE")))</f>
        <v/>
      </c>
      <c r="I11" s="14"/>
    </row>
    <row r="12" customFormat="false" ht="15" hidden="false" customHeight="false" outlineLevel="0" collapsed="false">
      <c r="A12" s="7" t="n">
        <f aca="false">IF(Alumnos!A8="","",Alumnos!A8)</f>
        <v>4</v>
      </c>
      <c r="B12" s="22" t="str">
        <f aca="false">IF(Alumnos!B8="","",Alumnos!B8)</f>
        <v/>
      </c>
      <c r="C12" s="7" t="str">
        <f aca="false">IF(Alumnos!S8="","",Alumnos!S8)</f>
        <v/>
      </c>
      <c r="D12" s="7" t="str">
        <f aca="false">IF(Alumnos!R8="","",Alumnos!R8)</f>
        <v/>
      </c>
      <c r="E12" s="7" t="n">
        <f aca="false">Asistencia!W8</f>
        <v>0</v>
      </c>
      <c r="F12" s="7" t="n">
        <f aca="false">3-COUNT(Bitacora_IA!C8:E8)</f>
        <v>3</v>
      </c>
      <c r="G12" s="7" t="str">
        <f aca="false">IF(Calificaciones!K20="","",Calificaciones!K20)</f>
        <v/>
      </c>
      <c r="H12" s="6" t="str">
        <f aca="false">IF(B12="","",IF(OR(E12&gt;=$B$5,AND(C12="No",E12&gt;=$B$4)),"ROJO",IF(OR(E12&gt;=$B$4,D12="Elemental",C12="No"),"ÁMBAR","VERDE")))</f>
        <v/>
      </c>
      <c r="I12" s="14"/>
    </row>
    <row r="13" customFormat="false" ht="15" hidden="false" customHeight="false" outlineLevel="0" collapsed="false">
      <c r="A13" s="7" t="n">
        <f aca="false">IF(Alumnos!A9="","",Alumnos!A9)</f>
        <v>5</v>
      </c>
      <c r="B13" s="22" t="str">
        <f aca="false">IF(Alumnos!B9="","",Alumnos!B9)</f>
        <v/>
      </c>
      <c r="C13" s="7" t="str">
        <f aca="false">IF(Alumnos!S9="","",Alumnos!S9)</f>
        <v/>
      </c>
      <c r="D13" s="7" t="str">
        <f aca="false">IF(Alumnos!R9="","",Alumnos!R9)</f>
        <v/>
      </c>
      <c r="E13" s="7" t="n">
        <f aca="false">Asistencia!W9</f>
        <v>0</v>
      </c>
      <c r="F13" s="7" t="n">
        <f aca="false">3-COUNT(Bitacora_IA!C9:E9)</f>
        <v>3</v>
      </c>
      <c r="G13" s="7" t="str">
        <f aca="false">IF(Calificaciones!K21="","",Calificaciones!K21)</f>
        <v/>
      </c>
      <c r="H13" s="6" t="str">
        <f aca="false">IF(B13="","",IF(OR(E13&gt;=$B$5,AND(C13="No",E13&gt;=$B$4)),"ROJO",IF(OR(E13&gt;=$B$4,D13="Elemental",C13="No"),"ÁMBAR","VERDE")))</f>
        <v/>
      </c>
      <c r="I13" s="14"/>
    </row>
    <row r="14" customFormat="false" ht="15" hidden="false" customHeight="false" outlineLevel="0" collapsed="false">
      <c r="A14" s="7" t="n">
        <f aca="false">IF(Alumnos!A10="","",Alumnos!A10)</f>
        <v>6</v>
      </c>
      <c r="B14" s="22" t="str">
        <f aca="false">IF(Alumnos!B10="","",Alumnos!B10)</f>
        <v/>
      </c>
      <c r="C14" s="7" t="str">
        <f aca="false">IF(Alumnos!S10="","",Alumnos!S10)</f>
        <v/>
      </c>
      <c r="D14" s="7" t="str">
        <f aca="false">IF(Alumnos!R10="","",Alumnos!R10)</f>
        <v/>
      </c>
      <c r="E14" s="7" t="n">
        <f aca="false">Asistencia!W10</f>
        <v>0</v>
      </c>
      <c r="F14" s="7" t="n">
        <f aca="false">3-COUNT(Bitacora_IA!C10:E10)</f>
        <v>3</v>
      </c>
      <c r="G14" s="7" t="str">
        <f aca="false">IF(Calificaciones!K22="","",Calificaciones!K22)</f>
        <v/>
      </c>
      <c r="H14" s="6" t="str">
        <f aca="false">IF(B14="","",IF(OR(E14&gt;=$B$5,AND(C14="No",E14&gt;=$B$4)),"ROJO",IF(OR(E14&gt;=$B$4,D14="Elemental",C14="No"),"ÁMBAR","VERDE")))</f>
        <v/>
      </c>
      <c r="I14" s="14"/>
    </row>
    <row r="15" customFormat="false" ht="15" hidden="false" customHeight="false" outlineLevel="0" collapsed="false">
      <c r="A15" s="7" t="n">
        <f aca="false">IF(Alumnos!A11="","",Alumnos!A11)</f>
        <v>7</v>
      </c>
      <c r="B15" s="22" t="str">
        <f aca="false">IF(Alumnos!B11="","",Alumnos!B11)</f>
        <v/>
      </c>
      <c r="C15" s="7" t="str">
        <f aca="false">IF(Alumnos!S11="","",Alumnos!S11)</f>
        <v/>
      </c>
      <c r="D15" s="7" t="str">
        <f aca="false">IF(Alumnos!R11="","",Alumnos!R11)</f>
        <v/>
      </c>
      <c r="E15" s="7" t="n">
        <f aca="false">Asistencia!W11</f>
        <v>0</v>
      </c>
      <c r="F15" s="7" t="n">
        <f aca="false">3-COUNT(Bitacora_IA!C11:E11)</f>
        <v>3</v>
      </c>
      <c r="G15" s="7" t="str">
        <f aca="false">IF(Calificaciones!K23="","",Calificaciones!K23)</f>
        <v/>
      </c>
      <c r="H15" s="6" t="str">
        <f aca="false">IF(B15="","",IF(OR(E15&gt;=$B$5,AND(C15="No",E15&gt;=$B$4)),"ROJO",IF(OR(E15&gt;=$B$4,D15="Elemental",C15="No"),"ÁMBAR","VERDE")))</f>
        <v/>
      </c>
      <c r="I15" s="14"/>
    </row>
    <row r="16" customFormat="false" ht="15" hidden="false" customHeight="false" outlineLevel="0" collapsed="false">
      <c r="A16" s="7" t="n">
        <f aca="false">IF(Alumnos!A12="","",Alumnos!A12)</f>
        <v>8</v>
      </c>
      <c r="B16" s="22" t="str">
        <f aca="false">IF(Alumnos!B12="","",Alumnos!B12)</f>
        <v/>
      </c>
      <c r="C16" s="7" t="str">
        <f aca="false">IF(Alumnos!S12="","",Alumnos!S12)</f>
        <v/>
      </c>
      <c r="D16" s="7" t="str">
        <f aca="false">IF(Alumnos!R12="","",Alumnos!R12)</f>
        <v/>
      </c>
      <c r="E16" s="7" t="n">
        <f aca="false">Asistencia!W12</f>
        <v>0</v>
      </c>
      <c r="F16" s="7" t="n">
        <f aca="false">3-COUNT(Bitacora_IA!C12:E12)</f>
        <v>3</v>
      </c>
      <c r="G16" s="7" t="str">
        <f aca="false">IF(Calificaciones!K24="","",Calificaciones!K24)</f>
        <v/>
      </c>
      <c r="H16" s="6" t="str">
        <f aca="false">IF(B16="","",IF(OR(E16&gt;=$B$5,AND(C16="No",E16&gt;=$B$4)),"ROJO",IF(OR(E16&gt;=$B$4,D16="Elemental",C16="No"),"ÁMBAR","VERDE")))</f>
        <v/>
      </c>
      <c r="I16" s="14"/>
    </row>
    <row r="17" customFormat="false" ht="15" hidden="false" customHeight="false" outlineLevel="0" collapsed="false">
      <c r="A17" s="7" t="n">
        <f aca="false">IF(Alumnos!A13="","",Alumnos!A13)</f>
        <v>9</v>
      </c>
      <c r="B17" s="22" t="str">
        <f aca="false">IF(Alumnos!B13="","",Alumnos!B13)</f>
        <v/>
      </c>
      <c r="C17" s="7" t="str">
        <f aca="false">IF(Alumnos!S13="","",Alumnos!S13)</f>
        <v/>
      </c>
      <c r="D17" s="7" t="str">
        <f aca="false">IF(Alumnos!R13="","",Alumnos!R13)</f>
        <v/>
      </c>
      <c r="E17" s="7" t="n">
        <f aca="false">Asistencia!W13</f>
        <v>0</v>
      </c>
      <c r="F17" s="7" t="n">
        <f aca="false">3-COUNT(Bitacora_IA!C13:E13)</f>
        <v>3</v>
      </c>
      <c r="G17" s="7" t="str">
        <f aca="false">IF(Calificaciones!K25="","",Calificaciones!K25)</f>
        <v/>
      </c>
      <c r="H17" s="6" t="str">
        <f aca="false">IF(B17="","",IF(OR(E17&gt;=$B$5,AND(C17="No",E17&gt;=$B$4)),"ROJO",IF(OR(E17&gt;=$B$4,D17="Elemental",C17="No"),"ÁMBAR","VERDE")))</f>
        <v/>
      </c>
      <c r="I17" s="14"/>
    </row>
    <row r="18" customFormat="false" ht="15" hidden="false" customHeight="false" outlineLevel="0" collapsed="false">
      <c r="A18" s="7" t="n">
        <f aca="false">IF(Alumnos!A14="","",Alumnos!A14)</f>
        <v>10</v>
      </c>
      <c r="B18" s="22" t="str">
        <f aca="false">IF(Alumnos!B14="","",Alumnos!B14)</f>
        <v/>
      </c>
      <c r="C18" s="7" t="str">
        <f aca="false">IF(Alumnos!S14="","",Alumnos!S14)</f>
        <v/>
      </c>
      <c r="D18" s="7" t="str">
        <f aca="false">IF(Alumnos!R14="","",Alumnos!R14)</f>
        <v/>
      </c>
      <c r="E18" s="7" t="n">
        <f aca="false">Asistencia!W14</f>
        <v>0</v>
      </c>
      <c r="F18" s="7" t="n">
        <f aca="false">3-COUNT(Bitacora_IA!C14:E14)</f>
        <v>3</v>
      </c>
      <c r="G18" s="7" t="str">
        <f aca="false">IF(Calificaciones!K26="","",Calificaciones!K26)</f>
        <v/>
      </c>
      <c r="H18" s="6" t="str">
        <f aca="false">IF(B18="","",IF(OR(E18&gt;=$B$5,AND(C18="No",E18&gt;=$B$4)),"ROJO",IF(OR(E18&gt;=$B$4,D18="Elemental",C18="No"),"ÁMBAR","VERDE")))</f>
        <v/>
      </c>
      <c r="I18" s="14"/>
    </row>
    <row r="19" customFormat="false" ht="15" hidden="false" customHeight="false" outlineLevel="0" collapsed="false">
      <c r="A19" s="7" t="n">
        <f aca="false">IF(Alumnos!A15="","",Alumnos!A15)</f>
        <v>11</v>
      </c>
      <c r="B19" s="22" t="str">
        <f aca="false">IF(Alumnos!B15="","",Alumnos!B15)</f>
        <v/>
      </c>
      <c r="C19" s="7" t="str">
        <f aca="false">IF(Alumnos!S15="","",Alumnos!S15)</f>
        <v/>
      </c>
      <c r="D19" s="7" t="str">
        <f aca="false">IF(Alumnos!R15="","",Alumnos!R15)</f>
        <v/>
      </c>
      <c r="E19" s="7" t="n">
        <f aca="false">Asistencia!W15</f>
        <v>0</v>
      </c>
      <c r="F19" s="7" t="n">
        <f aca="false">3-COUNT(Bitacora_IA!C15:E15)</f>
        <v>3</v>
      </c>
      <c r="G19" s="7" t="str">
        <f aca="false">IF(Calificaciones!K27="","",Calificaciones!K27)</f>
        <v/>
      </c>
      <c r="H19" s="6" t="str">
        <f aca="false">IF(B19="","",IF(OR(E19&gt;=$B$5,AND(C19="No",E19&gt;=$B$4)),"ROJO",IF(OR(E19&gt;=$B$4,D19="Elemental",C19="No"),"ÁMBAR","VERDE")))</f>
        <v/>
      </c>
      <c r="I19" s="14"/>
    </row>
    <row r="20" customFormat="false" ht="15" hidden="false" customHeight="false" outlineLevel="0" collapsed="false">
      <c r="A20" s="7" t="n">
        <f aca="false">IF(Alumnos!A16="","",Alumnos!A16)</f>
        <v>12</v>
      </c>
      <c r="B20" s="22" t="str">
        <f aca="false">IF(Alumnos!B16="","",Alumnos!B16)</f>
        <v/>
      </c>
      <c r="C20" s="7" t="str">
        <f aca="false">IF(Alumnos!S16="","",Alumnos!S16)</f>
        <v/>
      </c>
      <c r="D20" s="7" t="str">
        <f aca="false">IF(Alumnos!R16="","",Alumnos!R16)</f>
        <v/>
      </c>
      <c r="E20" s="7" t="n">
        <f aca="false">Asistencia!W16</f>
        <v>0</v>
      </c>
      <c r="F20" s="7" t="n">
        <f aca="false">3-COUNT(Bitacora_IA!C16:E16)</f>
        <v>3</v>
      </c>
      <c r="G20" s="7" t="str">
        <f aca="false">IF(Calificaciones!K28="","",Calificaciones!K28)</f>
        <v/>
      </c>
      <c r="H20" s="6" t="str">
        <f aca="false">IF(B20="","",IF(OR(E20&gt;=$B$5,AND(C20="No",E20&gt;=$B$4)),"ROJO",IF(OR(E20&gt;=$B$4,D20="Elemental",C20="No"),"ÁMBAR","VERDE")))</f>
        <v/>
      </c>
      <c r="I20" s="14"/>
    </row>
    <row r="21" customFormat="false" ht="15" hidden="false" customHeight="false" outlineLevel="0" collapsed="false">
      <c r="A21" s="7" t="n">
        <f aca="false">IF(Alumnos!A17="","",Alumnos!A17)</f>
        <v>13</v>
      </c>
      <c r="B21" s="22" t="str">
        <f aca="false">IF(Alumnos!B17="","",Alumnos!B17)</f>
        <v/>
      </c>
      <c r="C21" s="7" t="str">
        <f aca="false">IF(Alumnos!S17="","",Alumnos!S17)</f>
        <v/>
      </c>
      <c r="D21" s="7" t="str">
        <f aca="false">IF(Alumnos!R17="","",Alumnos!R17)</f>
        <v/>
      </c>
      <c r="E21" s="7" t="n">
        <f aca="false">Asistencia!W17</f>
        <v>0</v>
      </c>
      <c r="F21" s="7" t="n">
        <f aca="false">3-COUNT(Bitacora_IA!C17:E17)</f>
        <v>3</v>
      </c>
      <c r="G21" s="7" t="str">
        <f aca="false">IF(Calificaciones!K29="","",Calificaciones!K29)</f>
        <v/>
      </c>
      <c r="H21" s="6" t="str">
        <f aca="false">IF(B21="","",IF(OR(E21&gt;=$B$5,AND(C21="No",E21&gt;=$B$4)),"ROJO",IF(OR(E21&gt;=$B$4,D21="Elemental",C21="No"),"ÁMBAR","VERDE")))</f>
        <v/>
      </c>
      <c r="I21" s="14"/>
    </row>
    <row r="22" customFormat="false" ht="15" hidden="false" customHeight="false" outlineLevel="0" collapsed="false">
      <c r="A22" s="7" t="n">
        <f aca="false">IF(Alumnos!A18="","",Alumnos!A18)</f>
        <v>14</v>
      </c>
      <c r="B22" s="22" t="str">
        <f aca="false">IF(Alumnos!B18="","",Alumnos!B18)</f>
        <v/>
      </c>
      <c r="C22" s="7" t="str">
        <f aca="false">IF(Alumnos!S18="","",Alumnos!S18)</f>
        <v/>
      </c>
      <c r="D22" s="7" t="str">
        <f aca="false">IF(Alumnos!R18="","",Alumnos!R18)</f>
        <v/>
      </c>
      <c r="E22" s="7" t="n">
        <f aca="false">Asistencia!W18</f>
        <v>0</v>
      </c>
      <c r="F22" s="7" t="n">
        <f aca="false">3-COUNT(Bitacora_IA!C18:E18)</f>
        <v>3</v>
      </c>
      <c r="G22" s="7" t="str">
        <f aca="false">IF(Calificaciones!K30="","",Calificaciones!K30)</f>
        <v/>
      </c>
      <c r="H22" s="6" t="str">
        <f aca="false">IF(B22="","",IF(OR(E22&gt;=$B$5,AND(C22="No",E22&gt;=$B$4)),"ROJO",IF(OR(E22&gt;=$B$4,D22="Elemental",C22="No"),"ÁMBAR","VERDE")))</f>
        <v/>
      </c>
      <c r="I22" s="14"/>
    </row>
    <row r="23" customFormat="false" ht="15" hidden="false" customHeight="false" outlineLevel="0" collapsed="false">
      <c r="A23" s="7" t="n">
        <f aca="false">IF(Alumnos!A19="","",Alumnos!A19)</f>
        <v>15</v>
      </c>
      <c r="B23" s="22" t="str">
        <f aca="false">IF(Alumnos!B19="","",Alumnos!B19)</f>
        <v/>
      </c>
      <c r="C23" s="7" t="str">
        <f aca="false">IF(Alumnos!S19="","",Alumnos!S19)</f>
        <v/>
      </c>
      <c r="D23" s="7" t="str">
        <f aca="false">IF(Alumnos!R19="","",Alumnos!R19)</f>
        <v/>
      </c>
      <c r="E23" s="7" t="n">
        <f aca="false">Asistencia!W19</f>
        <v>0</v>
      </c>
      <c r="F23" s="7" t="n">
        <f aca="false">3-COUNT(Bitacora_IA!C19:E19)</f>
        <v>3</v>
      </c>
      <c r="G23" s="7" t="str">
        <f aca="false">IF(Calificaciones!K31="","",Calificaciones!K31)</f>
        <v/>
      </c>
      <c r="H23" s="6" t="str">
        <f aca="false">IF(B23="","",IF(OR(E23&gt;=$B$5,AND(C23="No",E23&gt;=$B$4)),"ROJO",IF(OR(E23&gt;=$B$4,D23="Elemental",C23="No"),"ÁMBAR","VERDE")))</f>
        <v/>
      </c>
      <c r="I23" s="14"/>
    </row>
    <row r="24" customFormat="false" ht="15" hidden="false" customHeight="false" outlineLevel="0" collapsed="false">
      <c r="A24" s="7" t="n">
        <f aca="false">IF(Alumnos!A20="","",Alumnos!A20)</f>
        <v>16</v>
      </c>
      <c r="B24" s="22" t="str">
        <f aca="false">IF(Alumnos!B20="","",Alumnos!B20)</f>
        <v/>
      </c>
      <c r="C24" s="7" t="str">
        <f aca="false">IF(Alumnos!S20="","",Alumnos!S20)</f>
        <v/>
      </c>
      <c r="D24" s="7" t="str">
        <f aca="false">IF(Alumnos!R20="","",Alumnos!R20)</f>
        <v/>
      </c>
      <c r="E24" s="7" t="n">
        <f aca="false">Asistencia!W20</f>
        <v>0</v>
      </c>
      <c r="F24" s="7" t="n">
        <f aca="false">3-COUNT(Bitacora_IA!C20:E20)</f>
        <v>3</v>
      </c>
      <c r="G24" s="7" t="str">
        <f aca="false">IF(Calificaciones!K32="","",Calificaciones!K32)</f>
        <v/>
      </c>
      <c r="H24" s="6" t="str">
        <f aca="false">IF(B24="","",IF(OR(E24&gt;=$B$5,AND(C24="No",E24&gt;=$B$4)),"ROJO",IF(OR(E24&gt;=$B$4,D24="Elemental",C24="No"),"ÁMBAR","VERDE")))</f>
        <v/>
      </c>
      <c r="I24" s="14"/>
    </row>
    <row r="25" customFormat="false" ht="15" hidden="false" customHeight="false" outlineLevel="0" collapsed="false">
      <c r="A25" s="7" t="n">
        <f aca="false">IF(Alumnos!A21="","",Alumnos!A21)</f>
        <v>17</v>
      </c>
      <c r="B25" s="22" t="str">
        <f aca="false">IF(Alumnos!B21="","",Alumnos!B21)</f>
        <v/>
      </c>
      <c r="C25" s="7" t="str">
        <f aca="false">IF(Alumnos!S21="","",Alumnos!S21)</f>
        <v/>
      </c>
      <c r="D25" s="7" t="str">
        <f aca="false">IF(Alumnos!R21="","",Alumnos!R21)</f>
        <v/>
      </c>
      <c r="E25" s="7" t="n">
        <f aca="false">Asistencia!W21</f>
        <v>0</v>
      </c>
      <c r="F25" s="7" t="n">
        <f aca="false">3-COUNT(Bitacora_IA!C21:E21)</f>
        <v>3</v>
      </c>
      <c r="G25" s="7" t="str">
        <f aca="false">IF(Calificaciones!K33="","",Calificaciones!K33)</f>
        <v/>
      </c>
      <c r="H25" s="6" t="str">
        <f aca="false">IF(B25="","",IF(OR(E25&gt;=$B$5,AND(C25="No",E25&gt;=$B$4)),"ROJO",IF(OR(E25&gt;=$B$4,D25="Elemental",C25="No"),"ÁMBAR","VERDE")))</f>
        <v/>
      </c>
      <c r="I25" s="14"/>
    </row>
    <row r="26" customFormat="false" ht="15" hidden="false" customHeight="false" outlineLevel="0" collapsed="false">
      <c r="A26" s="7" t="n">
        <f aca="false">IF(Alumnos!A22="","",Alumnos!A22)</f>
        <v>18</v>
      </c>
      <c r="B26" s="22" t="str">
        <f aca="false">IF(Alumnos!B22="","",Alumnos!B22)</f>
        <v/>
      </c>
      <c r="C26" s="7" t="str">
        <f aca="false">IF(Alumnos!S22="","",Alumnos!S22)</f>
        <v/>
      </c>
      <c r="D26" s="7" t="str">
        <f aca="false">IF(Alumnos!R22="","",Alumnos!R22)</f>
        <v/>
      </c>
      <c r="E26" s="7" t="n">
        <f aca="false">Asistencia!W22</f>
        <v>0</v>
      </c>
      <c r="F26" s="7" t="n">
        <f aca="false">3-COUNT(Bitacora_IA!C22:E22)</f>
        <v>3</v>
      </c>
      <c r="G26" s="7" t="str">
        <f aca="false">IF(Calificaciones!K34="","",Calificaciones!K34)</f>
        <v/>
      </c>
      <c r="H26" s="6" t="str">
        <f aca="false">IF(B26="","",IF(OR(E26&gt;=$B$5,AND(C26="No",E26&gt;=$B$4)),"ROJO",IF(OR(E26&gt;=$B$4,D26="Elemental",C26="No"),"ÁMBAR","VERDE")))</f>
        <v/>
      </c>
      <c r="I26" s="14"/>
    </row>
    <row r="27" customFormat="false" ht="15" hidden="false" customHeight="false" outlineLevel="0" collapsed="false">
      <c r="A27" s="7" t="n">
        <f aca="false">IF(Alumnos!A23="","",Alumnos!A23)</f>
        <v>19</v>
      </c>
      <c r="B27" s="22" t="str">
        <f aca="false">IF(Alumnos!B23="","",Alumnos!B23)</f>
        <v/>
      </c>
      <c r="C27" s="7" t="str">
        <f aca="false">IF(Alumnos!S23="","",Alumnos!S23)</f>
        <v/>
      </c>
      <c r="D27" s="7" t="str">
        <f aca="false">IF(Alumnos!R23="","",Alumnos!R23)</f>
        <v/>
      </c>
      <c r="E27" s="7" t="n">
        <f aca="false">Asistencia!W23</f>
        <v>0</v>
      </c>
      <c r="F27" s="7" t="n">
        <f aca="false">3-COUNT(Bitacora_IA!C23:E23)</f>
        <v>3</v>
      </c>
      <c r="G27" s="7" t="str">
        <f aca="false">IF(Calificaciones!K35="","",Calificaciones!K35)</f>
        <v/>
      </c>
      <c r="H27" s="6" t="str">
        <f aca="false">IF(B27="","",IF(OR(E27&gt;=$B$5,AND(C27="No",E27&gt;=$B$4)),"ROJO",IF(OR(E27&gt;=$B$4,D27="Elemental",C27="No"),"ÁMBAR","VERDE")))</f>
        <v/>
      </c>
      <c r="I27" s="14"/>
    </row>
    <row r="28" customFormat="false" ht="15" hidden="false" customHeight="false" outlineLevel="0" collapsed="false">
      <c r="A28" s="7" t="n">
        <f aca="false">IF(Alumnos!A24="","",Alumnos!A24)</f>
        <v>20</v>
      </c>
      <c r="B28" s="22" t="str">
        <f aca="false">IF(Alumnos!B24="","",Alumnos!B24)</f>
        <v/>
      </c>
      <c r="C28" s="7" t="str">
        <f aca="false">IF(Alumnos!S24="","",Alumnos!S24)</f>
        <v/>
      </c>
      <c r="D28" s="7" t="str">
        <f aca="false">IF(Alumnos!R24="","",Alumnos!R24)</f>
        <v/>
      </c>
      <c r="E28" s="7" t="n">
        <f aca="false">Asistencia!W24</f>
        <v>0</v>
      </c>
      <c r="F28" s="7" t="n">
        <f aca="false">3-COUNT(Bitacora_IA!C24:E24)</f>
        <v>3</v>
      </c>
      <c r="G28" s="7" t="str">
        <f aca="false">IF(Calificaciones!K36="","",Calificaciones!K36)</f>
        <v/>
      </c>
      <c r="H28" s="6" t="str">
        <f aca="false">IF(B28="","",IF(OR(E28&gt;=$B$5,AND(C28="No",E28&gt;=$B$4)),"ROJO",IF(OR(E28&gt;=$B$4,D28="Elemental",C28="No"),"ÁMBAR","VERDE")))</f>
        <v/>
      </c>
      <c r="I28" s="14"/>
    </row>
    <row r="29" customFormat="false" ht="15" hidden="false" customHeight="false" outlineLevel="0" collapsed="false">
      <c r="A29" s="7" t="n">
        <f aca="false">IF(Alumnos!A25="","",Alumnos!A25)</f>
        <v>21</v>
      </c>
      <c r="B29" s="22" t="str">
        <f aca="false">IF(Alumnos!B25="","",Alumnos!B25)</f>
        <v/>
      </c>
      <c r="C29" s="7" t="str">
        <f aca="false">IF(Alumnos!S25="","",Alumnos!S25)</f>
        <v/>
      </c>
      <c r="D29" s="7" t="str">
        <f aca="false">IF(Alumnos!R25="","",Alumnos!R25)</f>
        <v/>
      </c>
      <c r="E29" s="7" t="n">
        <f aca="false">Asistencia!W25</f>
        <v>0</v>
      </c>
      <c r="F29" s="7" t="n">
        <f aca="false">3-COUNT(Bitacora_IA!C25:E25)</f>
        <v>3</v>
      </c>
      <c r="G29" s="7" t="str">
        <f aca="false">IF(Calificaciones!K37="","",Calificaciones!K37)</f>
        <v/>
      </c>
      <c r="H29" s="6" t="str">
        <f aca="false">IF(B29="","",IF(OR(E29&gt;=$B$5,AND(C29="No",E29&gt;=$B$4)),"ROJO",IF(OR(E29&gt;=$B$4,D29="Elemental",C29="No"),"ÁMBAR","VERDE")))</f>
        <v/>
      </c>
      <c r="I29" s="14"/>
    </row>
    <row r="30" customFormat="false" ht="15" hidden="false" customHeight="false" outlineLevel="0" collapsed="false">
      <c r="A30" s="7" t="n">
        <f aca="false">IF(Alumnos!A26="","",Alumnos!A26)</f>
        <v>22</v>
      </c>
      <c r="B30" s="22" t="str">
        <f aca="false">IF(Alumnos!B26="","",Alumnos!B26)</f>
        <v/>
      </c>
      <c r="C30" s="7" t="str">
        <f aca="false">IF(Alumnos!S26="","",Alumnos!S26)</f>
        <v/>
      </c>
      <c r="D30" s="7" t="str">
        <f aca="false">IF(Alumnos!R26="","",Alumnos!R26)</f>
        <v/>
      </c>
      <c r="E30" s="7" t="n">
        <f aca="false">Asistencia!W26</f>
        <v>0</v>
      </c>
      <c r="F30" s="7" t="n">
        <f aca="false">3-COUNT(Bitacora_IA!C26:E26)</f>
        <v>3</v>
      </c>
      <c r="G30" s="7" t="str">
        <f aca="false">IF(Calificaciones!K38="","",Calificaciones!K38)</f>
        <v/>
      </c>
      <c r="H30" s="6" t="str">
        <f aca="false">IF(B30="","",IF(OR(E30&gt;=$B$5,AND(C30="No",E30&gt;=$B$4)),"ROJO",IF(OR(E30&gt;=$B$4,D30="Elemental",C30="No"),"ÁMBAR","VERDE")))</f>
        <v/>
      </c>
      <c r="I30" s="14"/>
    </row>
    <row r="31" customFormat="false" ht="15" hidden="false" customHeight="false" outlineLevel="0" collapsed="false">
      <c r="A31" s="7" t="n">
        <f aca="false">IF(Alumnos!A27="","",Alumnos!A27)</f>
        <v>23</v>
      </c>
      <c r="B31" s="22" t="str">
        <f aca="false">IF(Alumnos!B27="","",Alumnos!B27)</f>
        <v/>
      </c>
      <c r="C31" s="7" t="str">
        <f aca="false">IF(Alumnos!S27="","",Alumnos!S27)</f>
        <v/>
      </c>
      <c r="D31" s="7" t="str">
        <f aca="false">IF(Alumnos!R27="","",Alumnos!R27)</f>
        <v/>
      </c>
      <c r="E31" s="7" t="n">
        <f aca="false">Asistencia!W27</f>
        <v>0</v>
      </c>
      <c r="F31" s="7" t="n">
        <f aca="false">3-COUNT(Bitacora_IA!C27:E27)</f>
        <v>3</v>
      </c>
      <c r="G31" s="7" t="str">
        <f aca="false">IF(Calificaciones!K39="","",Calificaciones!K39)</f>
        <v/>
      </c>
      <c r="H31" s="6" t="str">
        <f aca="false">IF(B31="","",IF(OR(E31&gt;=$B$5,AND(C31="No",E31&gt;=$B$4)),"ROJO",IF(OR(E31&gt;=$B$4,D31="Elemental",C31="No"),"ÁMBAR","VERDE")))</f>
        <v/>
      </c>
      <c r="I31" s="14"/>
    </row>
    <row r="32" customFormat="false" ht="15" hidden="false" customHeight="false" outlineLevel="0" collapsed="false">
      <c r="A32" s="7" t="n">
        <f aca="false">IF(Alumnos!A28="","",Alumnos!A28)</f>
        <v>24</v>
      </c>
      <c r="B32" s="22" t="str">
        <f aca="false">IF(Alumnos!B28="","",Alumnos!B28)</f>
        <v/>
      </c>
      <c r="C32" s="7" t="str">
        <f aca="false">IF(Alumnos!S28="","",Alumnos!S28)</f>
        <v/>
      </c>
      <c r="D32" s="7" t="str">
        <f aca="false">IF(Alumnos!R28="","",Alumnos!R28)</f>
        <v/>
      </c>
      <c r="E32" s="7" t="n">
        <f aca="false">Asistencia!W28</f>
        <v>0</v>
      </c>
      <c r="F32" s="7" t="n">
        <f aca="false">3-COUNT(Bitacora_IA!C28:E28)</f>
        <v>3</v>
      </c>
      <c r="G32" s="7" t="str">
        <f aca="false">IF(Calificaciones!K40="","",Calificaciones!K40)</f>
        <v/>
      </c>
      <c r="H32" s="6" t="str">
        <f aca="false">IF(B32="","",IF(OR(E32&gt;=$B$5,AND(C32="No",E32&gt;=$B$4)),"ROJO",IF(OR(E32&gt;=$B$4,D32="Elemental",C32="No"),"ÁMBAR","VERDE")))</f>
        <v/>
      </c>
      <c r="I32" s="14"/>
    </row>
    <row r="33" customFormat="false" ht="15" hidden="false" customHeight="false" outlineLevel="0" collapsed="false">
      <c r="A33" s="7" t="n">
        <f aca="false">IF(Alumnos!A29="","",Alumnos!A29)</f>
        <v>25</v>
      </c>
      <c r="B33" s="22" t="str">
        <f aca="false">IF(Alumnos!B29="","",Alumnos!B29)</f>
        <v/>
      </c>
      <c r="C33" s="7" t="str">
        <f aca="false">IF(Alumnos!S29="","",Alumnos!S29)</f>
        <v/>
      </c>
      <c r="D33" s="7" t="str">
        <f aca="false">IF(Alumnos!R29="","",Alumnos!R29)</f>
        <v/>
      </c>
      <c r="E33" s="7" t="n">
        <f aca="false">Asistencia!W29</f>
        <v>0</v>
      </c>
      <c r="F33" s="7" t="n">
        <f aca="false">3-COUNT(Bitacora_IA!C29:E29)</f>
        <v>3</v>
      </c>
      <c r="G33" s="7" t="str">
        <f aca="false">IF(Calificaciones!K41="","",Calificaciones!K41)</f>
        <v/>
      </c>
      <c r="H33" s="6" t="str">
        <f aca="false">IF(B33="","",IF(OR(E33&gt;=$B$5,AND(C33="No",E33&gt;=$B$4)),"ROJO",IF(OR(E33&gt;=$B$4,D33="Elemental",C33="No"),"ÁMBAR","VERDE")))</f>
        <v/>
      </c>
      <c r="I33" s="14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9"/>
    <col collapsed="false" customWidth="true" hidden="false" outlineLevel="0" max="12" min="10" style="0" width="34"/>
  </cols>
  <sheetData>
    <row r="1" customFormat="false" ht="21.75" hidden="false" customHeight="true" outlineLevel="0" collapsed="false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202</v>
      </c>
    </row>
    <row r="3" customFormat="false" ht="30" hidden="false" customHeight="true" outlineLevel="0" collapsed="false">
      <c r="A3" s="5" t="s">
        <v>203</v>
      </c>
      <c r="B3" s="5" t="s">
        <v>204</v>
      </c>
      <c r="C3" s="5" t="s">
        <v>205</v>
      </c>
      <c r="D3" s="5" t="s">
        <v>206</v>
      </c>
      <c r="E3" s="5" t="s">
        <v>207</v>
      </c>
      <c r="F3" s="5" t="s">
        <v>208</v>
      </c>
      <c r="G3" s="5" t="s">
        <v>209</v>
      </c>
      <c r="H3" s="5" t="s">
        <v>210</v>
      </c>
      <c r="I3" s="5" t="s">
        <v>211</v>
      </c>
      <c r="J3" s="5" t="s">
        <v>212</v>
      </c>
      <c r="K3" s="5" t="s">
        <v>213</v>
      </c>
      <c r="L3" s="5" t="s">
        <v>214</v>
      </c>
    </row>
    <row r="4" customFormat="false" ht="30" hidden="false" customHeight="true" outlineLevel="0" collapsed="false">
      <c r="A4" s="6" t="s">
        <v>120</v>
      </c>
      <c r="B4" s="7" t="s">
        <v>99</v>
      </c>
      <c r="C4" s="7" t="s">
        <v>215</v>
      </c>
      <c r="D4" s="15"/>
      <c r="E4" s="15"/>
      <c r="F4" s="15"/>
      <c r="G4" s="15"/>
      <c r="H4" s="15"/>
      <c r="I4" s="15"/>
      <c r="J4" s="25"/>
      <c r="K4" s="25"/>
      <c r="L4" s="25"/>
    </row>
    <row r="5" customFormat="false" ht="30" hidden="false" customHeight="true" outlineLevel="0" collapsed="false">
      <c r="A5" s="6" t="s">
        <v>121</v>
      </c>
      <c r="B5" s="7" t="s">
        <v>100</v>
      </c>
      <c r="C5" s="7" t="s">
        <v>216</v>
      </c>
      <c r="D5" s="15"/>
      <c r="E5" s="15"/>
      <c r="F5" s="15"/>
      <c r="G5" s="15"/>
      <c r="H5" s="15"/>
      <c r="I5" s="15"/>
      <c r="J5" s="25"/>
      <c r="K5" s="25"/>
      <c r="L5" s="25"/>
    </row>
    <row r="6" customFormat="false" ht="30" hidden="false" customHeight="true" outlineLevel="0" collapsed="false">
      <c r="A6" s="6" t="s">
        <v>122</v>
      </c>
      <c r="B6" s="7" t="s">
        <v>101</v>
      </c>
      <c r="C6" s="7" t="s">
        <v>217</v>
      </c>
      <c r="D6" s="15"/>
      <c r="E6" s="15"/>
      <c r="F6" s="15"/>
      <c r="G6" s="15"/>
      <c r="H6" s="15"/>
      <c r="I6" s="15"/>
      <c r="J6" s="25"/>
      <c r="K6" s="25"/>
      <c r="L6" s="25"/>
    </row>
    <row r="7" customFormat="false" ht="30" hidden="false" customHeight="true" outlineLevel="0" collapsed="false">
      <c r="A7" s="6" t="s">
        <v>123</v>
      </c>
      <c r="B7" s="7" t="s">
        <v>102</v>
      </c>
      <c r="C7" s="7" t="s">
        <v>218</v>
      </c>
      <c r="D7" s="15"/>
      <c r="E7" s="15"/>
      <c r="F7" s="15"/>
      <c r="G7" s="15"/>
      <c r="H7" s="15"/>
      <c r="I7" s="15"/>
      <c r="J7" s="25"/>
      <c r="K7" s="25"/>
      <c r="L7" s="25"/>
    </row>
    <row r="8" customFormat="false" ht="30" hidden="false" customHeight="true" outlineLevel="0" collapsed="false">
      <c r="A8" s="6" t="s">
        <v>124</v>
      </c>
      <c r="B8" s="7" t="s">
        <v>103</v>
      </c>
      <c r="C8" s="7" t="s">
        <v>219</v>
      </c>
      <c r="D8" s="15"/>
      <c r="E8" s="15"/>
      <c r="F8" s="15"/>
      <c r="G8" s="15"/>
      <c r="H8" s="15"/>
      <c r="I8" s="15"/>
      <c r="J8" s="25"/>
      <c r="K8" s="25"/>
      <c r="L8" s="25"/>
    </row>
    <row r="9" customFormat="false" ht="30" hidden="false" customHeight="true" outlineLevel="0" collapsed="false">
      <c r="A9" s="6" t="s">
        <v>125</v>
      </c>
      <c r="B9" s="7" t="s">
        <v>104</v>
      </c>
      <c r="C9" s="7" t="s">
        <v>220</v>
      </c>
      <c r="D9" s="15"/>
      <c r="E9" s="15"/>
      <c r="F9" s="15"/>
      <c r="G9" s="15"/>
      <c r="H9" s="15"/>
      <c r="I9" s="15"/>
      <c r="J9" s="25"/>
      <c r="K9" s="25"/>
      <c r="L9" s="25"/>
    </row>
    <row r="10" customFormat="false" ht="30" hidden="false" customHeight="true" outlineLevel="0" collapsed="false">
      <c r="A10" s="6" t="s">
        <v>126</v>
      </c>
      <c r="B10" s="7" t="s">
        <v>105</v>
      </c>
      <c r="C10" s="7" t="s">
        <v>221</v>
      </c>
      <c r="D10" s="15"/>
      <c r="E10" s="15"/>
      <c r="F10" s="15"/>
      <c r="G10" s="15"/>
      <c r="H10" s="15"/>
      <c r="I10" s="15"/>
      <c r="J10" s="25"/>
      <c r="K10" s="25"/>
      <c r="L10" s="25"/>
    </row>
    <row r="11" customFormat="false" ht="30" hidden="false" customHeight="true" outlineLevel="0" collapsed="false">
      <c r="A11" s="6" t="s">
        <v>127</v>
      </c>
      <c r="B11" s="7" t="s">
        <v>106</v>
      </c>
      <c r="C11" s="7" t="s">
        <v>222</v>
      </c>
      <c r="D11" s="15"/>
      <c r="E11" s="15"/>
      <c r="F11" s="15"/>
      <c r="G11" s="15"/>
      <c r="H11" s="15"/>
      <c r="I11" s="15"/>
      <c r="J11" s="25"/>
      <c r="K11" s="25"/>
      <c r="L11" s="25"/>
    </row>
    <row r="12" customFormat="false" ht="30" hidden="false" customHeight="true" outlineLevel="0" collapsed="false">
      <c r="A12" s="6" t="s">
        <v>128</v>
      </c>
      <c r="B12" s="7" t="s">
        <v>107</v>
      </c>
      <c r="C12" s="7" t="s">
        <v>223</v>
      </c>
      <c r="D12" s="15"/>
      <c r="E12" s="15"/>
      <c r="F12" s="15"/>
      <c r="G12" s="15"/>
      <c r="H12" s="15"/>
      <c r="I12" s="15"/>
      <c r="J12" s="25"/>
      <c r="K12" s="25"/>
      <c r="L12" s="25"/>
    </row>
    <row r="13" customFormat="false" ht="30" hidden="false" customHeight="true" outlineLevel="0" collapsed="false">
      <c r="A13" s="6" t="s">
        <v>129</v>
      </c>
      <c r="B13" s="7" t="s">
        <v>108</v>
      </c>
      <c r="C13" s="7" t="s">
        <v>224</v>
      </c>
      <c r="D13" s="15"/>
      <c r="E13" s="15"/>
      <c r="F13" s="15"/>
      <c r="G13" s="15"/>
      <c r="H13" s="15"/>
      <c r="I13" s="15"/>
      <c r="J13" s="25"/>
      <c r="K13" s="25"/>
      <c r="L13" s="25"/>
    </row>
    <row r="14" customFormat="false" ht="30" hidden="false" customHeight="true" outlineLevel="0" collapsed="false">
      <c r="A14" s="6" t="s">
        <v>130</v>
      </c>
      <c r="B14" s="7" t="s">
        <v>109</v>
      </c>
      <c r="C14" s="7" t="s">
        <v>225</v>
      </c>
      <c r="D14" s="15"/>
      <c r="E14" s="15"/>
      <c r="F14" s="15"/>
      <c r="G14" s="15"/>
      <c r="H14" s="15"/>
      <c r="I14" s="15"/>
      <c r="J14" s="25"/>
      <c r="K14" s="25"/>
      <c r="L14" s="25"/>
    </row>
    <row r="15" customFormat="false" ht="30" hidden="false" customHeight="true" outlineLevel="0" collapsed="false">
      <c r="A15" s="6" t="s">
        <v>131</v>
      </c>
      <c r="B15" s="7" t="s">
        <v>110</v>
      </c>
      <c r="C15" s="7" t="s">
        <v>226</v>
      </c>
      <c r="D15" s="15"/>
      <c r="E15" s="15"/>
      <c r="F15" s="15"/>
      <c r="G15" s="15"/>
      <c r="H15" s="15"/>
      <c r="I15" s="15"/>
      <c r="J15" s="25"/>
      <c r="K15" s="25"/>
      <c r="L15" s="25"/>
    </row>
    <row r="16" customFormat="false" ht="30" hidden="false" customHeight="true" outlineLevel="0" collapsed="false">
      <c r="A16" s="6" t="s">
        <v>132</v>
      </c>
      <c r="B16" s="7" t="s">
        <v>111</v>
      </c>
      <c r="C16" s="7" t="s">
        <v>227</v>
      </c>
      <c r="D16" s="15"/>
      <c r="E16" s="15"/>
      <c r="F16" s="15"/>
      <c r="G16" s="15"/>
      <c r="H16" s="15"/>
      <c r="I16" s="15"/>
      <c r="J16" s="25"/>
      <c r="K16" s="25"/>
      <c r="L16" s="25"/>
    </row>
    <row r="17" customFormat="false" ht="30" hidden="false" customHeight="true" outlineLevel="0" collapsed="false">
      <c r="A17" s="6" t="s">
        <v>133</v>
      </c>
      <c r="B17" s="7" t="s">
        <v>112</v>
      </c>
      <c r="C17" s="7" t="s">
        <v>228</v>
      </c>
      <c r="D17" s="15"/>
      <c r="E17" s="15"/>
      <c r="F17" s="15"/>
      <c r="G17" s="15"/>
      <c r="H17" s="15"/>
      <c r="I17" s="15"/>
      <c r="J17" s="25"/>
      <c r="K17" s="25"/>
      <c r="L17" s="25"/>
    </row>
    <row r="18" customFormat="false" ht="30" hidden="false" customHeight="true" outlineLevel="0" collapsed="false">
      <c r="A18" s="6" t="s">
        <v>134</v>
      </c>
      <c r="B18" s="7" t="s">
        <v>113</v>
      </c>
      <c r="C18" s="7" t="s">
        <v>229</v>
      </c>
      <c r="D18" s="15"/>
      <c r="E18" s="15"/>
      <c r="F18" s="15"/>
      <c r="G18" s="15"/>
      <c r="H18" s="15"/>
      <c r="I18" s="15"/>
      <c r="J18" s="25"/>
      <c r="K18" s="25"/>
      <c r="L18" s="25"/>
    </row>
    <row r="19" customFormat="false" ht="30" hidden="false" customHeight="true" outlineLevel="0" collapsed="false">
      <c r="A19" s="6" t="s">
        <v>135</v>
      </c>
      <c r="B19" s="7" t="s">
        <v>114</v>
      </c>
      <c r="C19" s="7" t="s">
        <v>230</v>
      </c>
      <c r="D19" s="15"/>
      <c r="E19" s="15"/>
      <c r="F19" s="15"/>
      <c r="G19" s="15"/>
      <c r="H19" s="15"/>
      <c r="I19" s="15"/>
      <c r="J19" s="25"/>
      <c r="K19" s="25"/>
      <c r="L19" s="25"/>
    </row>
    <row r="20" customFormat="false" ht="30" hidden="false" customHeight="true" outlineLevel="0" collapsed="false">
      <c r="A20" s="6" t="s">
        <v>136</v>
      </c>
      <c r="B20" s="7" t="s">
        <v>115</v>
      </c>
      <c r="C20" s="7" t="s">
        <v>231</v>
      </c>
      <c r="D20" s="15"/>
      <c r="E20" s="15"/>
      <c r="F20" s="15"/>
      <c r="G20" s="15"/>
      <c r="H20" s="15"/>
      <c r="I20" s="15"/>
      <c r="J20" s="25"/>
      <c r="K20" s="25"/>
      <c r="L20" s="25"/>
    </row>
    <row r="21" customFormat="false" ht="30" hidden="false" customHeight="true" outlineLevel="0" collapsed="false">
      <c r="A21" s="6" t="s">
        <v>137</v>
      </c>
      <c r="B21" s="7" t="s">
        <v>116</v>
      </c>
      <c r="C21" s="7" t="s">
        <v>232</v>
      </c>
      <c r="D21" s="15"/>
      <c r="E21" s="15"/>
      <c r="F21" s="15"/>
      <c r="G21" s="15"/>
      <c r="H21" s="15"/>
      <c r="I21" s="15"/>
      <c r="J21" s="25"/>
      <c r="K21" s="25"/>
      <c r="L21" s="25"/>
    </row>
    <row r="22" customFormat="false" ht="30" hidden="false" customHeight="true" outlineLevel="0" collapsed="false">
      <c r="A22" s="6" t="s">
        <v>138</v>
      </c>
      <c r="B22" s="7" t="s">
        <v>117</v>
      </c>
      <c r="C22" s="7" t="s">
        <v>233</v>
      </c>
      <c r="D22" s="15"/>
      <c r="E22" s="15"/>
      <c r="F22" s="15"/>
      <c r="G22" s="15"/>
      <c r="H22" s="15"/>
      <c r="I22" s="15"/>
      <c r="J22" s="25"/>
      <c r="K22" s="25"/>
      <c r="L22" s="25"/>
    </row>
    <row r="23" customFormat="false" ht="30" hidden="false" customHeight="true" outlineLevel="0" collapsed="false">
      <c r="A23" s="6" t="s">
        <v>139</v>
      </c>
      <c r="B23" s="7" t="s">
        <v>118</v>
      </c>
      <c r="C23" s="7" t="s">
        <v>234</v>
      </c>
      <c r="D23" s="15"/>
      <c r="E23" s="15"/>
      <c r="F23" s="15"/>
      <c r="G23" s="15"/>
      <c r="H23" s="15"/>
      <c r="I23" s="15"/>
      <c r="J23" s="25"/>
      <c r="K23" s="25"/>
      <c r="L23" s="25"/>
    </row>
    <row r="26" customFormat="false" ht="15" hidden="false" customHeight="false" outlineLevel="0" collapsed="false">
      <c r="A26" s="2" t="s">
        <v>235</v>
      </c>
      <c r="E26" s="6" t="n">
        <f aca="false">SUM(E4:E23)</f>
        <v>0</v>
      </c>
      <c r="F26" s="6" t="n">
        <f aca="false">SUM(F4:F23)</f>
        <v>0</v>
      </c>
      <c r="G26" s="6" t="n">
        <f aca="false">SUM(G4:G23)</f>
        <v>0</v>
      </c>
      <c r="H26" s="6" t="n">
        <f aca="false">SUM(H4:H23)</f>
        <v>0</v>
      </c>
    </row>
    <row r="27" customFormat="false" ht="15" hidden="false" customHeight="false" outlineLevel="0" collapsed="false">
      <c r="A27" s="2" t="s">
        <v>236</v>
      </c>
      <c r="E27" s="26" t="str">
        <f aca="false">IFERROR(E26/SUM($E$26:$H$26),"")</f>
        <v/>
      </c>
      <c r="F27" s="26" t="str">
        <f aca="false">IFERROR(F26/SUM($E$26:$H$26),"")</f>
        <v/>
      </c>
      <c r="G27" s="26" t="str">
        <f aca="false">IFERROR(G26/SUM($E$26:$H$26),"")</f>
        <v/>
      </c>
      <c r="H27" s="26" t="str">
        <f aca="false">IFERROR(H26/SUM($E$26:$H$26),"")</f>
        <v/>
      </c>
    </row>
    <row r="28" customFormat="false" ht="15" hidden="false" customHeight="false" outlineLevel="0" collapsed="false">
      <c r="A28" s="9" t="s">
        <v>237</v>
      </c>
    </row>
  </sheetData>
  <mergeCells count="1">
    <mergeCell ref="A1:L1"/>
  </mergeCells>
  <dataValidations count="1">
    <dataValidation allowBlank="true" errorStyle="stop" operator="between" showDropDown="false" showErrorMessage="false" showInputMessage="false" sqref="I4:I23" type="list">
      <formula1>"Sí,Parcialmente,No"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21.75" hidden="false" customHeight="true" outlineLevel="0" collapsed="false">
      <c r="A1" s="1" t="s">
        <v>238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239</v>
      </c>
    </row>
    <row r="4" customFormat="false" ht="15" hidden="false" customHeight="false" outlineLevel="0" collapsed="false">
      <c r="A4" s="17" t="s">
        <v>240</v>
      </c>
      <c r="B4" s="15" t="n">
        <v>25</v>
      </c>
      <c r="D4" s="9" t="s">
        <v>241</v>
      </c>
    </row>
    <row r="5" customFormat="false" ht="15" hidden="false" customHeight="false" outlineLevel="0" collapsed="false">
      <c r="A5" s="17" t="s">
        <v>242</v>
      </c>
      <c r="B5" s="15"/>
      <c r="D5" s="9" t="s">
        <v>243</v>
      </c>
    </row>
    <row r="6" customFormat="false" ht="15" hidden="false" customHeight="false" outlineLevel="0" collapsed="false">
      <c r="A6" s="17" t="s">
        <v>244</v>
      </c>
      <c r="B6" s="18" t="n">
        <f aca="false">IFERROR(B5/B4,"")</f>
        <v>0</v>
      </c>
      <c r="D6" s="9" t="s">
        <v>245</v>
      </c>
    </row>
    <row r="7" customFormat="false" ht="15" hidden="false" customHeight="false" outlineLevel="0" collapsed="false">
      <c r="A7" s="17" t="s">
        <v>246</v>
      </c>
      <c r="B7" s="15"/>
      <c r="D7" s="9" t="s">
        <v>243</v>
      </c>
    </row>
    <row r="8" customFormat="false" ht="15" hidden="false" customHeight="false" outlineLevel="0" collapsed="false">
      <c r="A8" s="17" t="s">
        <v>247</v>
      </c>
      <c r="B8" s="18" t="n">
        <f aca="false">IFERROR(B7/B4,"")</f>
        <v>0</v>
      </c>
      <c r="D8" s="9"/>
    </row>
    <row r="9" customFormat="false" ht="15" hidden="false" customHeight="false" outlineLevel="0" collapsed="false">
      <c r="A9" s="17" t="s">
        <v>248</v>
      </c>
      <c r="B9" s="7" t="str">
        <f aca="false">IFERROR(AVERAGE(Calificaciones!K16:K41),"")</f>
        <v/>
      </c>
      <c r="D9" s="9" t="s">
        <v>249</v>
      </c>
    </row>
    <row r="10" customFormat="false" ht="15" hidden="false" customHeight="false" outlineLevel="0" collapsed="false">
      <c r="A10" s="17" t="s">
        <v>250</v>
      </c>
      <c r="B10" s="7" t="n">
        <f aca="false">IFERROR(AVERAGE(Alumnos!Q4:Q29),"")</f>
        <v>9</v>
      </c>
      <c r="D10" s="9" t="s">
        <v>249</v>
      </c>
    </row>
    <row r="11" customFormat="false" ht="15" hidden="false" customHeight="false" outlineLevel="0" collapsed="false">
      <c r="A11" s="17" t="s">
        <v>251</v>
      </c>
      <c r="B11" s="15"/>
      <c r="D11" s="9" t="s">
        <v>252</v>
      </c>
    </row>
    <row r="12" customFormat="false" ht="15" hidden="false" customHeight="false" outlineLevel="0" collapsed="false">
      <c r="A12" s="17" t="s">
        <v>253</v>
      </c>
      <c r="B12" s="7" t="n">
        <f aca="false">IFERROR(B11-B10,"")</f>
        <v>-9</v>
      </c>
      <c r="D12" s="9" t="s">
        <v>254</v>
      </c>
    </row>
    <row r="15" customFormat="false" ht="15" hidden="false" customHeight="false" outlineLevel="0" collapsed="false">
      <c r="A15" s="2" t="s">
        <v>255</v>
      </c>
    </row>
    <row r="16" customFormat="false" ht="30" hidden="false" customHeight="true" outlineLevel="0" collapsed="false">
      <c r="A16" s="3" t="s">
        <v>256</v>
      </c>
      <c r="D16" s="25"/>
    </row>
    <row r="17" customFormat="false" ht="30" hidden="false" customHeight="true" outlineLevel="0" collapsed="false">
      <c r="A17" s="3" t="s">
        <v>257</v>
      </c>
      <c r="D17" s="25"/>
    </row>
    <row r="18" customFormat="false" ht="30" hidden="false" customHeight="true" outlineLevel="0" collapsed="false">
      <c r="A18" s="3" t="s">
        <v>258</v>
      </c>
      <c r="D18" s="25"/>
    </row>
    <row r="19" customFormat="false" ht="30" hidden="false" customHeight="true" outlineLevel="0" collapsed="false">
      <c r="A19" s="3" t="s">
        <v>259</v>
      </c>
      <c r="D19" s="25"/>
    </row>
    <row r="20" customFormat="false" ht="30" hidden="false" customHeight="true" outlineLevel="0" collapsed="false">
      <c r="A20" s="3" t="s">
        <v>260</v>
      </c>
      <c r="D20" s="25"/>
    </row>
    <row r="21" customFormat="false" ht="30" hidden="false" customHeight="true" outlineLevel="0" collapsed="false">
      <c r="A21" s="3" t="s">
        <v>261</v>
      </c>
      <c r="D21" s="25"/>
    </row>
    <row r="22" customFormat="false" ht="30" hidden="false" customHeight="true" outlineLevel="0" collapsed="false">
      <c r="A22" s="3" t="s">
        <v>262</v>
      </c>
      <c r="D22" s="25"/>
    </row>
    <row r="23" customFormat="false" ht="30" hidden="false" customHeight="true" outlineLevel="0" collapsed="false">
      <c r="A23" s="3" t="s">
        <v>263</v>
      </c>
      <c r="D23" s="25"/>
    </row>
    <row r="24" customFormat="false" ht="30" hidden="false" customHeight="true" outlineLevel="0" collapsed="false">
      <c r="A24" s="3" t="s">
        <v>264</v>
      </c>
      <c r="D24" s="25"/>
    </row>
    <row r="25" customFormat="false" ht="30" hidden="false" customHeight="true" outlineLevel="0" collapsed="false">
      <c r="A25" s="3" t="s">
        <v>265</v>
      </c>
      <c r="D25" s="25"/>
    </row>
    <row r="28" customFormat="false" ht="15" hidden="false" customHeight="false" outlineLevel="0" collapsed="false">
      <c r="A28" s="2" t="s">
        <v>266</v>
      </c>
    </row>
    <row r="29" customFormat="false" ht="30" hidden="false" customHeight="true" outlineLevel="0" collapsed="false">
      <c r="A29" s="5" t="s">
        <v>86</v>
      </c>
      <c r="B29" s="5" t="s">
        <v>267</v>
      </c>
      <c r="C29" s="5" t="s">
        <v>268</v>
      </c>
      <c r="D29" s="5" t="s">
        <v>269</v>
      </c>
    </row>
    <row r="30" customFormat="false" ht="15" hidden="false" customHeight="false" outlineLevel="0" collapsed="false">
      <c r="A30" s="6" t="s">
        <v>42</v>
      </c>
      <c r="B30" s="7" t="n">
        <f aca="false">COUNTIF(Alumnos!$P$4:$P$29,A30)</f>
        <v>1</v>
      </c>
      <c r="C30" s="19" t="n">
        <f aca="false">IFERROR(SUMIF(Alumnos!$P$4:$P$29,A30,Calificaciones!$K$16:$K$41)/B30,"")</f>
        <v>0</v>
      </c>
      <c r="D30" s="14"/>
    </row>
    <row r="31" customFormat="false" ht="15" hidden="false" customHeight="false" outlineLevel="0" collapsed="false">
      <c r="A31" s="6" t="s">
        <v>48</v>
      </c>
      <c r="B31" s="7" t="n">
        <f aca="false">COUNTIF(Alumnos!$P$4:$P$29,A31)</f>
        <v>0</v>
      </c>
      <c r="C31" s="19" t="str">
        <f aca="false">IFERROR(SUMIF(Alumnos!$P$4:$P$29,A31,Calificaciones!$K$16:$K$41)/B31,"")</f>
        <v/>
      </c>
      <c r="D31" s="14"/>
    </row>
    <row r="32" customFormat="false" ht="15" hidden="false" customHeight="false" outlineLevel="0" collapsed="false">
      <c r="A32" s="6" t="s">
        <v>54</v>
      </c>
      <c r="B32" s="7" t="n">
        <f aca="false">COUNTIF(Alumnos!$P$4:$P$29,A32)</f>
        <v>0</v>
      </c>
      <c r="C32" s="19" t="str">
        <f aca="false">IFERROR(SUMIF(Alumnos!$P$4:$P$29,A32,Calificaciones!$K$16:$K$41)/B32,"")</f>
        <v/>
      </c>
      <c r="D32" s="14"/>
    </row>
    <row r="33" customFormat="false" ht="15" hidden="false" customHeight="false" outlineLevel="0" collapsed="false">
      <c r="A33" s="6" t="s">
        <v>59</v>
      </c>
      <c r="B33" s="7" t="n">
        <f aca="false">COUNTIF(Alumnos!$P$4:$P$29,A33)</f>
        <v>0</v>
      </c>
      <c r="C33" s="19" t="str">
        <f aca="false">IFERROR(SUMIF(Alumnos!$P$4:$P$29,A33,Calificaciones!$K$16:$K$41)/B33,"")</f>
        <v/>
      </c>
      <c r="D33" s="14"/>
    </row>
    <row r="35" customFormat="false" ht="15" hidden="false" customHeight="true" outlineLevel="0" collapsed="false">
      <c r="A35" s="8" t="s">
        <v>270</v>
      </c>
      <c r="B35" s="8"/>
      <c r="C35" s="8"/>
      <c r="D35" s="8"/>
    </row>
    <row r="36" customFormat="false" ht="15" hidden="false" customHeight="false" outlineLevel="0" collapsed="false">
      <c r="A36" s="8"/>
      <c r="B36" s="8"/>
      <c r="C36" s="8"/>
      <c r="D36" s="8"/>
    </row>
    <row r="37" customFormat="false" ht="15" hidden="false" customHeight="false" outlineLevel="0" collapsed="false">
      <c r="A37" s="8"/>
      <c r="B37" s="8"/>
      <c r="C37" s="8"/>
      <c r="D37" s="8"/>
    </row>
  </sheetData>
  <mergeCells count="2">
    <mergeCell ref="A1:F1"/>
    <mergeCell ref="A35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2026-09-09T02:59:55Z</dcterms:created>
  <dc:creator>openpyxl</dc:creator>
  <dc:description/>
  <dc:language>en-US</dc:language>
  <cp:lastModifiedBy/>
  <dcterms:modified xsi:type="dcterms:W3CDTF">2026-09-09T02:59:55Z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